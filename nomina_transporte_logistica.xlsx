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Nomin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2" authorId="0">
      <text>
        <r>
          <rPr>
            <sz val="10"/>
            <rFont val="Arial"/>
            <family val="2"/>
          </rPr>
          <t xml:space="preserve">Auxilio de transporte: se paga solo si el IBC es menor o igual a 2 SMLV (Parametros!B4). Aqui IBC=1.750.905 &lt;= 3.501.810, por lo tanto SI aplica = 249.095.</t>
        </r>
      </text>
    </comment>
    <comment ref="S2" authorId="0">
      <text>
        <r>
          <rPr>
            <sz val="10"/>
            <rFont val="Arial"/>
            <family val="2"/>
          </rPr>
          <t xml:space="preserve">Descuento salud trabajador = IBC x 4% = 1.750.905 x 0,04 = 70.036,2</t>
        </r>
      </text>
    </comment>
    <comment ref="T2" authorId="0">
      <text>
        <r>
          <rPr>
            <sz val="10"/>
            <rFont val="Arial"/>
            <family val="2"/>
          </rPr>
          <t xml:space="preserve">Descuento pension trabajador = IBC x 4% = 1.750.905 x 0,04 = 70.036,2
Nota: si el IBC fuera mayor a 4 SMLV, se sumaria 1% adicional al Fondo de Solidaridad Pensional (no incluido aqui).</t>
        </r>
      </text>
    </comment>
    <comment ref="U2" authorId="0">
      <text>
        <r>
          <rPr>
            <sz val="10"/>
            <rFont val="Arial"/>
            <family val="2"/>
          </rPr>
          <t xml:space="preserve">Cesantias (provision mensual) = (IBC + Aux.Transporte) / 12
= (1.750.905 + 249.095) / 12 = 2.000.000 / 12 = 166.666,7</t>
        </r>
      </text>
    </comment>
    <comment ref="V2" authorId="0">
      <text>
        <r>
          <rPr>
            <sz val="10"/>
            <rFont val="Arial"/>
            <family val="2"/>
          </rPr>
          <t xml:space="preserve">Intereses sobre cesantias = Cesantias del mes x 12% anual = 166.666,7 x 0,12 = 20.000</t>
        </r>
      </text>
    </comment>
    <comment ref="W2" authorId="0">
      <text>
        <r>
          <rPr>
            <sz val="10"/>
            <rFont val="Arial"/>
            <family val="2"/>
          </rPr>
          <t xml:space="preserve">Provision prima = (IBC + Aux.Transporte) / 12 (se paga semestral, igual base que cesantias)</t>
        </r>
      </text>
    </comment>
    <comment ref="X2" authorId="0">
      <text>
        <r>
          <rPr>
            <sz val="10"/>
            <rFont val="Arial"/>
            <family val="2"/>
          </rPr>
          <t xml:space="preserve">Provision vacaciones = IBC x 4,17% (15 dias/360) = 1.750.905 x 0,0417 = 73.012,7
Nota: NO incluye auxilio de transporte, solo aplica sobre el salario base.</t>
        </r>
      </text>
    </comment>
    <comment ref="Y2" authorId="0">
      <text>
        <r>
          <rPr>
            <sz val="10"/>
            <rFont val="Arial"/>
            <family val="2"/>
          </rPr>
          <t xml:space="preserve">Aporte salud empleador = IBC x 8,5% = 1.750.905 x 0,085 = 148.826,9</t>
        </r>
      </text>
    </comment>
    <comment ref="Z2" authorId="0">
      <text>
        <r>
          <rPr>
            <sz val="10"/>
            <rFont val="Arial"/>
            <family val="2"/>
          </rPr>
          <t xml:space="preserve">Aporte pension empleador = IBC x 12% = 1.750.905 x 0,12 = 210.108,6</t>
        </r>
      </text>
    </comment>
    <comment ref="AA2" authorId="0">
      <text>
        <r>
          <rPr>
            <sz val="10"/>
            <rFont val="Arial"/>
            <family val="2"/>
          </rPr>
          <t xml:space="preserve">Aporte CCF (Caja de Compensacion) empleador = IBC x 4% = 1.750.905 x 0,04 = 70.036,2</t>
        </r>
      </text>
    </comment>
    <comment ref="AB2" authorId="0">
      <text>
        <r>
          <rPr>
            <sz val="10"/>
            <rFont val="Arial"/>
            <family val="2"/>
          </rPr>
          <t xml:space="preserve">Aporte ARL empleador = IBC x Nivel de Riesgo del cargo.
Este cargo (Auxiliar de Bodega) esta en Riesgo IV (4,35%) por manejo de carga.
= 1.750.905 x 0,0435 = 76.164,4</t>
        </r>
      </text>
    </comment>
  </commentList>
</comments>
</file>

<file path=xl/sharedStrings.xml><?xml version="1.0" encoding="utf-8"?>
<sst xmlns="http://schemas.openxmlformats.org/spreadsheetml/2006/main" count="1927" uniqueCount="350">
  <si>
    <t xml:space="preserve">Parametro</t>
  </si>
  <si>
    <t xml:space="preserve">Valor</t>
  </si>
  <si>
    <t xml:space="preserve">Fuente / Nota</t>
  </si>
  <si>
    <t xml:space="preserve">SMLV 2026</t>
  </si>
  <si>
    <t xml:space="preserve">Salario minimo legal vigente (valor base de la planilla original)</t>
  </si>
  <si>
    <t xml:space="preserve">Auxilio de Transporte 2026</t>
  </si>
  <si>
    <t xml:space="preserve">Valor mensual (aplica solo si IBC &lt;= 2 SMLV)</t>
  </si>
  <si>
    <t xml:space="preserve">Tope Aux. Transporte (2 SMLV)</t>
  </si>
  <si>
    <t xml:space="preserve">Decreto anual - Codigo Sustantivo del Trabajo Art. 7 Ley 15/1959</t>
  </si>
  <si>
    <t xml:space="preserve">% Aporte Salud Trabajador</t>
  </si>
  <si>
    <t xml:space="preserve">Ley 100 de 1993, Art. 204</t>
  </si>
  <si>
    <t xml:space="preserve">% Aporte Pension Trabajador</t>
  </si>
  <si>
    <t xml:space="preserve">Ley 100 de 1993, Art. 20</t>
  </si>
  <si>
    <t xml:space="preserve">% Aporte Salud Empleador</t>
  </si>
  <si>
    <t xml:space="preserve">% Aporte Pension Empleador</t>
  </si>
  <si>
    <t xml:space="preserve">% Aporte CCF Empleador</t>
  </si>
  <si>
    <t xml:space="preserve">Ley 21 de 1982</t>
  </si>
  <si>
    <t xml:space="preserve">% Provision Cesantias (mensual)</t>
  </si>
  <si>
    <t xml:space="preserve">Un salario mensual (base+aux.transp.) por año trabajado, Ley 50 de 1990</t>
  </si>
  <si>
    <t xml:space="preserve">% Intereses sobre Cesantias</t>
  </si>
  <si>
    <t xml:space="preserve">12% anual sobre cesantias causadas, Ley 52 de 1975</t>
  </si>
  <si>
    <t xml:space="preserve">% Provision Prima (mensual)</t>
  </si>
  <si>
    <t xml:space="preserve">Un salario mensual (base+aux.transp.) por año, pagadero semestral, CST Art. 306</t>
  </si>
  <si>
    <t xml:space="preserve">% Provision Vacaciones</t>
  </si>
  <si>
    <t xml:space="preserve">15 dias habiles / 360 sobre el salario base, CST Art. 186</t>
  </si>
  <si>
    <t xml:space="preserve">ID EMPLEADO</t>
  </si>
  <si>
    <t xml:space="preserve">PRIMER APELLIDO</t>
  </si>
  <si>
    <t xml:space="preserve">PRIMER NOMBRE</t>
  </si>
  <si>
    <t xml:space="preserve">SEXO</t>
  </si>
  <si>
    <t xml:space="preserve">FECHA NACIMIENTO</t>
  </si>
  <si>
    <t xml:space="preserve">ESTADO CIVIL</t>
  </si>
  <si>
    <t xml:space="preserve">DEPARTAMENTO</t>
  </si>
  <si>
    <t xml:space="preserve">MUNICIPIO</t>
  </si>
  <si>
    <t xml:space="preserve">OCUPACION</t>
  </si>
  <si>
    <t xml:space="preserve">FECHA INGRESO</t>
  </si>
  <si>
    <t xml:space="preserve">FECHA RETIRO</t>
  </si>
  <si>
    <t xml:space="preserve">EPS</t>
  </si>
  <si>
    <t xml:space="preserve">AFP</t>
  </si>
  <si>
    <t xml:space="preserve">ARL</t>
  </si>
  <si>
    <t xml:space="preserve">CCF</t>
  </si>
  <si>
    <t xml:space="preserve">NIVEL RIESGO</t>
  </si>
  <si>
    <t xml:space="preserve">IBC</t>
  </si>
  <si>
    <t xml:space="preserve">AUX DE TRANSPORTE</t>
  </si>
  <si>
    <t xml:space="preserve">DESCUENTO TRABAJADOR EPS</t>
  </si>
  <si>
    <t xml:space="preserve">DESCUENTO TRABAJADOR PENSION</t>
  </si>
  <si>
    <t xml:space="preserve">CESANTIAS</t>
  </si>
  <si>
    <t xml:space="preserve">INTERESES DE CESANTIAS</t>
  </si>
  <si>
    <t xml:space="preserve">PROVISION PRIMA</t>
  </si>
  <si>
    <t xml:space="preserve">PROVISION VACACIONES</t>
  </si>
  <si>
    <t xml:space="preserve">APORTE SALUD EMPLEADOR 8,5%</t>
  </si>
  <si>
    <t xml:space="preserve">APORTE PENSION EMPLEADOR 12%</t>
  </si>
  <si>
    <t xml:space="preserve">APORTE EMPLEADOR CCF</t>
  </si>
  <si>
    <t xml:space="preserve">APORTE EMPLEADOR ARL</t>
  </si>
  <si>
    <t xml:space="preserve">EMP-001</t>
  </si>
  <si>
    <t xml:space="preserve">Ortiz</t>
  </si>
  <si>
    <t xml:space="preserve">Oscar</t>
  </si>
  <si>
    <t xml:space="preserve">M</t>
  </si>
  <si>
    <t xml:space="preserve">Soltero</t>
  </si>
  <si>
    <t xml:space="preserve">Bogotá D.C</t>
  </si>
  <si>
    <t xml:space="preserve">Bogotá</t>
  </si>
  <si>
    <t xml:space="preserve">AUXILIAR DE BODEGA</t>
  </si>
  <si>
    <t xml:space="preserve">SALUD TOTAL</t>
  </si>
  <si>
    <t xml:space="preserve">PORVENIR S.A.</t>
  </si>
  <si>
    <t xml:space="preserve">ARL SURA</t>
  </si>
  <si>
    <t xml:space="preserve">COLSUBSIDIO</t>
  </si>
  <si>
    <t xml:space="preserve">EMP-002</t>
  </si>
  <si>
    <t xml:space="preserve">Alvarez</t>
  </si>
  <si>
    <t xml:space="preserve">Jorge</t>
  </si>
  <si>
    <t xml:space="preserve">ANALISTA DE INVENTARIOS</t>
  </si>
  <si>
    <t xml:space="preserve">EMP-003</t>
  </si>
  <si>
    <t xml:space="preserve">Ramirez</t>
  </si>
  <si>
    <t xml:space="preserve">Sergio</t>
  </si>
  <si>
    <t xml:space="preserve">SURA EPS</t>
  </si>
  <si>
    <t xml:space="preserve">PROTECCION</t>
  </si>
  <si>
    <t xml:space="preserve">EMP-004</t>
  </si>
  <si>
    <t xml:space="preserve">Moreno</t>
  </si>
  <si>
    <t xml:space="preserve">Johana</t>
  </si>
  <si>
    <t xml:space="preserve">F</t>
  </si>
  <si>
    <t xml:space="preserve">COMPENSAR EPS</t>
  </si>
  <si>
    <t xml:space="preserve">COLPENSIONES</t>
  </si>
  <si>
    <t xml:space="preserve">EMP-005</t>
  </si>
  <si>
    <t xml:space="preserve">Mendoza</t>
  </si>
  <si>
    <t xml:space="preserve">Laura</t>
  </si>
  <si>
    <t xml:space="preserve">COMPENSAR</t>
  </si>
  <si>
    <t xml:space="preserve">EMP-006</t>
  </si>
  <si>
    <t xml:space="preserve">Juan</t>
  </si>
  <si>
    <t xml:space="preserve">SANITAS</t>
  </si>
  <si>
    <t xml:space="preserve">EMP-007</t>
  </si>
  <si>
    <t xml:space="preserve">Cardenas</t>
  </si>
  <si>
    <t xml:space="preserve">Gloria</t>
  </si>
  <si>
    <t xml:space="preserve">EMP-008</t>
  </si>
  <si>
    <t xml:space="preserve">Hernandez</t>
  </si>
  <si>
    <t xml:space="preserve">Alejandro</t>
  </si>
  <si>
    <t xml:space="preserve">ASESOR COMERCIAL</t>
  </si>
  <si>
    <t xml:space="preserve">EMP-009</t>
  </si>
  <si>
    <t xml:space="preserve">Diaz</t>
  </si>
  <si>
    <t xml:space="preserve">Luis</t>
  </si>
  <si>
    <t xml:space="preserve">FAMISANAR</t>
  </si>
  <si>
    <t xml:space="preserve">COLFONDOS</t>
  </si>
  <si>
    <t xml:space="preserve">EMP-010</t>
  </si>
  <si>
    <t xml:space="preserve">Cruz</t>
  </si>
  <si>
    <t xml:space="preserve">Catalina</t>
  </si>
  <si>
    <t xml:space="preserve">EMP-011</t>
  </si>
  <si>
    <t xml:space="preserve">David</t>
  </si>
  <si>
    <t xml:space="preserve">EMP-012</t>
  </si>
  <si>
    <t xml:space="preserve">Duque</t>
  </si>
  <si>
    <t xml:space="preserve">Andres</t>
  </si>
  <si>
    <t xml:space="preserve">Cundinamarca</t>
  </si>
  <si>
    <t xml:space="preserve">SOACHA</t>
  </si>
  <si>
    <t xml:space="preserve">EMP-013</t>
  </si>
  <si>
    <t xml:space="preserve">Jimenez</t>
  </si>
  <si>
    <t xml:space="preserve">Lorena</t>
  </si>
  <si>
    <t xml:space="preserve">CONDUCTOR</t>
  </si>
  <si>
    <t xml:space="preserve">EMP-014</t>
  </si>
  <si>
    <t xml:space="preserve">Mauricio</t>
  </si>
  <si>
    <t xml:space="preserve">EMP-015</t>
  </si>
  <si>
    <t xml:space="preserve">Rivera</t>
  </si>
  <si>
    <t xml:space="preserve">Diego</t>
  </si>
  <si>
    <t xml:space="preserve">EMP-016</t>
  </si>
  <si>
    <t xml:space="preserve">EMP-017</t>
  </si>
  <si>
    <t xml:space="preserve">EMP-018</t>
  </si>
  <si>
    <t xml:space="preserve">Silva</t>
  </si>
  <si>
    <t xml:space="preserve">Monica</t>
  </si>
  <si>
    <t xml:space="preserve">EMP-019</t>
  </si>
  <si>
    <t xml:space="preserve">Castillo</t>
  </si>
  <si>
    <t xml:space="preserve">Julian</t>
  </si>
  <si>
    <t xml:space="preserve">EMP-020</t>
  </si>
  <si>
    <t xml:space="preserve">Nunez</t>
  </si>
  <si>
    <t xml:space="preserve">AUXILIAR ADMINISTRATIVO</t>
  </si>
  <si>
    <t xml:space="preserve">EMP-021</t>
  </si>
  <si>
    <t xml:space="preserve">Rojas</t>
  </si>
  <si>
    <t xml:space="preserve">Santiago</t>
  </si>
  <si>
    <t xml:space="preserve">EMP-022</t>
  </si>
  <si>
    <t xml:space="preserve">Torres</t>
  </si>
  <si>
    <t xml:space="preserve">Andrea</t>
  </si>
  <si>
    <t xml:space="preserve">EMP-023</t>
  </si>
  <si>
    <t xml:space="preserve">Sofia</t>
  </si>
  <si>
    <t xml:space="preserve">EMP-024</t>
  </si>
  <si>
    <t xml:space="preserve">Vargas</t>
  </si>
  <si>
    <t xml:space="preserve">EMP-025</t>
  </si>
  <si>
    <t xml:space="preserve">MECANICO</t>
  </si>
  <si>
    <t xml:space="preserve">EMP-026</t>
  </si>
  <si>
    <t xml:space="preserve">Fernando</t>
  </si>
  <si>
    <t xml:space="preserve">EMP-027</t>
  </si>
  <si>
    <t xml:space="preserve">EMP-028</t>
  </si>
  <si>
    <t xml:space="preserve">Gomez</t>
  </si>
  <si>
    <t xml:space="preserve">EMP-029</t>
  </si>
  <si>
    <t xml:space="preserve">AUXILIAR CONTABLE</t>
  </si>
  <si>
    <t xml:space="preserve">ALIANSALUD</t>
  </si>
  <si>
    <t xml:space="preserve">EMP-030</t>
  </si>
  <si>
    <t xml:space="preserve">Peña</t>
  </si>
  <si>
    <t xml:space="preserve">Ivan</t>
  </si>
  <si>
    <t xml:space="preserve">AUXILIAR DE NOMINA</t>
  </si>
  <si>
    <t xml:space="preserve">EMP-031</t>
  </si>
  <si>
    <t xml:space="preserve">EMP-032</t>
  </si>
  <si>
    <t xml:space="preserve">Suarez</t>
  </si>
  <si>
    <t xml:space="preserve">EMP-033</t>
  </si>
  <si>
    <t xml:space="preserve">EMP-034</t>
  </si>
  <si>
    <t xml:space="preserve">EMP-035</t>
  </si>
  <si>
    <t xml:space="preserve">Camila</t>
  </si>
  <si>
    <t xml:space="preserve">GERENTE</t>
  </si>
  <si>
    <t xml:space="preserve">EMP-036</t>
  </si>
  <si>
    <t xml:space="preserve">EMP-037</t>
  </si>
  <si>
    <t xml:space="preserve">Cadena</t>
  </si>
  <si>
    <t xml:space="preserve">EMP-038</t>
  </si>
  <si>
    <t xml:space="preserve">Guerrero</t>
  </si>
  <si>
    <t xml:space="preserve">Natalia</t>
  </si>
  <si>
    <t xml:space="preserve">EMP-039</t>
  </si>
  <si>
    <t xml:space="preserve">Aguirre</t>
  </si>
  <si>
    <t xml:space="preserve">EMP-040</t>
  </si>
  <si>
    <t xml:space="preserve">Lozano</t>
  </si>
  <si>
    <t xml:space="preserve">ANALISTA DE COSTOS</t>
  </si>
  <si>
    <t xml:space="preserve">EMP-041</t>
  </si>
  <si>
    <t xml:space="preserve">Herrera</t>
  </si>
  <si>
    <t xml:space="preserve">Leonardo</t>
  </si>
  <si>
    <t xml:space="preserve">EMP-042</t>
  </si>
  <si>
    <t xml:space="preserve">EMP-043</t>
  </si>
  <si>
    <t xml:space="preserve">Bautista</t>
  </si>
  <si>
    <t xml:space="preserve">Ricardo</t>
  </si>
  <si>
    <t xml:space="preserve">MOSQUERA</t>
  </si>
  <si>
    <t xml:space="preserve">EMP-044</t>
  </si>
  <si>
    <t xml:space="preserve">EMP-045</t>
  </si>
  <si>
    <t xml:space="preserve">Lopez</t>
  </si>
  <si>
    <t xml:space="preserve">Paula</t>
  </si>
  <si>
    <t xml:space="preserve">EMP-046</t>
  </si>
  <si>
    <t xml:space="preserve">Ospina</t>
  </si>
  <si>
    <t xml:space="preserve">EMP-047</t>
  </si>
  <si>
    <t xml:space="preserve">Diana</t>
  </si>
  <si>
    <t xml:space="preserve">SUPERVISOR DE BODEGA</t>
  </si>
  <si>
    <t xml:space="preserve">EMP-048</t>
  </si>
  <si>
    <t xml:space="preserve">EMP-049</t>
  </si>
  <si>
    <t xml:space="preserve">Claudia</t>
  </si>
  <si>
    <t xml:space="preserve">ANALISTA DE RUTAS</t>
  </si>
  <si>
    <t xml:space="preserve">EMP-050</t>
  </si>
  <si>
    <t xml:space="preserve">EMP-051</t>
  </si>
  <si>
    <t xml:space="preserve">EMP-052</t>
  </si>
  <si>
    <t xml:space="preserve">Perez</t>
  </si>
  <si>
    <t xml:space="preserve">Gustavo</t>
  </si>
  <si>
    <t xml:space="preserve">EMP-053</t>
  </si>
  <si>
    <t xml:space="preserve">Pineda</t>
  </si>
  <si>
    <t xml:space="preserve">Miguel</t>
  </si>
  <si>
    <t xml:space="preserve">EMP-054</t>
  </si>
  <si>
    <t xml:space="preserve">EMP-055</t>
  </si>
  <si>
    <t xml:space="preserve">EMP-056</t>
  </si>
  <si>
    <t xml:space="preserve">Castro</t>
  </si>
  <si>
    <t xml:space="preserve">EMP-057</t>
  </si>
  <si>
    <t xml:space="preserve">Gonzalez</t>
  </si>
  <si>
    <t xml:space="preserve">DIRECTOR COMERCIAL</t>
  </si>
  <si>
    <t xml:space="preserve">EMP-058</t>
  </si>
  <si>
    <t xml:space="preserve">EMP-059</t>
  </si>
  <si>
    <t xml:space="preserve">EMP-060</t>
  </si>
  <si>
    <t xml:space="preserve">EMP-061</t>
  </si>
  <si>
    <t xml:space="preserve">Sanchez</t>
  </si>
  <si>
    <t xml:space="preserve">EMP-062</t>
  </si>
  <si>
    <t xml:space="preserve">Medina</t>
  </si>
  <si>
    <t xml:space="preserve">Hernan</t>
  </si>
  <si>
    <t xml:space="preserve">EMP-063</t>
  </si>
  <si>
    <t xml:space="preserve">Bermudez</t>
  </si>
  <si>
    <t xml:space="preserve">EMP-064</t>
  </si>
  <si>
    <t xml:space="preserve">JEFE DE MANTENIMIENTO</t>
  </si>
  <si>
    <t xml:space="preserve">EMP-065</t>
  </si>
  <si>
    <t xml:space="preserve">EMP-066</t>
  </si>
  <si>
    <t xml:space="preserve">Daniela</t>
  </si>
  <si>
    <t xml:space="preserve">EMP-067</t>
  </si>
  <si>
    <t xml:space="preserve">Carolina</t>
  </si>
  <si>
    <t xml:space="preserve">EMP-068</t>
  </si>
  <si>
    <t xml:space="preserve">Fabian</t>
  </si>
  <si>
    <t xml:space="preserve">EMP-069</t>
  </si>
  <si>
    <t xml:space="preserve">Meta</t>
  </si>
  <si>
    <t xml:space="preserve">VILLAVICENCIO</t>
  </si>
  <si>
    <t xml:space="preserve">EMP-070</t>
  </si>
  <si>
    <t xml:space="preserve">CONTADOR</t>
  </si>
  <si>
    <t xml:space="preserve">CAPITAL SALUD</t>
  </si>
  <si>
    <t xml:space="preserve">EMP-071</t>
  </si>
  <si>
    <t xml:space="preserve">EMP-072</t>
  </si>
  <si>
    <t xml:space="preserve">Wilson</t>
  </si>
  <si>
    <t xml:space="preserve">EMP-073</t>
  </si>
  <si>
    <t xml:space="preserve">Rodriguez</t>
  </si>
  <si>
    <t xml:space="preserve">EMP-074</t>
  </si>
  <si>
    <t xml:space="preserve">Patricia</t>
  </si>
  <si>
    <t xml:space="preserve">COORDINADOR DE INVENTARIOS</t>
  </si>
  <si>
    <t xml:space="preserve">EMP-075</t>
  </si>
  <si>
    <t xml:space="preserve">EMP-076</t>
  </si>
  <si>
    <t xml:space="preserve">Esteban</t>
  </si>
  <si>
    <t xml:space="preserve">EMP-077</t>
  </si>
  <si>
    <t xml:space="preserve">Nicolas</t>
  </si>
  <si>
    <t xml:space="preserve">NUEVA EPS</t>
  </si>
  <si>
    <t xml:space="preserve">EMP-078</t>
  </si>
  <si>
    <t xml:space="preserve">Camilo</t>
  </si>
  <si>
    <t xml:space="preserve">EMP-079</t>
  </si>
  <si>
    <t xml:space="preserve">EMP-080</t>
  </si>
  <si>
    <t xml:space="preserve">EMP-081</t>
  </si>
  <si>
    <t xml:space="preserve">Vanessa</t>
  </si>
  <si>
    <t xml:space="preserve">EMP-082</t>
  </si>
  <si>
    <t xml:space="preserve">EMP-083</t>
  </si>
  <si>
    <t xml:space="preserve">Marcela</t>
  </si>
  <si>
    <t xml:space="preserve">EMP-084</t>
  </si>
  <si>
    <t xml:space="preserve">EMP-085</t>
  </si>
  <si>
    <t xml:space="preserve">DIRECTOR LOGISTICO</t>
  </si>
  <si>
    <t xml:space="preserve">EMP-086</t>
  </si>
  <si>
    <t xml:space="preserve">EMP-087</t>
  </si>
  <si>
    <t xml:space="preserve">EMP-088</t>
  </si>
  <si>
    <t xml:space="preserve">TESORERO</t>
  </si>
  <si>
    <t xml:space="preserve">EMP-089</t>
  </si>
  <si>
    <t xml:space="preserve">EMP-090</t>
  </si>
  <si>
    <t xml:space="preserve">Romero</t>
  </si>
  <si>
    <t xml:space="preserve">Adriana</t>
  </si>
  <si>
    <t xml:space="preserve">EMP-091</t>
  </si>
  <si>
    <t xml:space="preserve">Isabel</t>
  </si>
  <si>
    <t xml:space="preserve">EMP-092</t>
  </si>
  <si>
    <t xml:space="preserve">EMP-093</t>
  </si>
  <si>
    <t xml:space="preserve">Ximena</t>
  </si>
  <si>
    <t xml:space="preserve">EMP-094</t>
  </si>
  <si>
    <t xml:space="preserve">EMP-095</t>
  </si>
  <si>
    <t xml:space="preserve">EMP-096</t>
  </si>
  <si>
    <t xml:space="preserve">Cristian</t>
  </si>
  <si>
    <t xml:space="preserve">EMP-097</t>
  </si>
  <si>
    <t xml:space="preserve">EMP-098</t>
  </si>
  <si>
    <t xml:space="preserve">Salazar</t>
  </si>
  <si>
    <t xml:space="preserve">EMP-099</t>
  </si>
  <si>
    <t xml:space="preserve">EMP-100</t>
  </si>
  <si>
    <t xml:space="preserve">EMP-101</t>
  </si>
  <si>
    <t xml:space="preserve">EMP-102</t>
  </si>
  <si>
    <t xml:space="preserve">Tatiana</t>
  </si>
  <si>
    <t xml:space="preserve">EMP-103</t>
  </si>
  <si>
    <t xml:space="preserve">EMP-104</t>
  </si>
  <si>
    <t xml:space="preserve">DIRECTOR RECURSOS HUMANOS</t>
  </si>
  <si>
    <t xml:space="preserve">EMP-105</t>
  </si>
  <si>
    <t xml:space="preserve">EMP-106</t>
  </si>
  <si>
    <t xml:space="preserve">CAJERO</t>
  </si>
  <si>
    <t xml:space="preserve">EMP-107</t>
  </si>
  <si>
    <t xml:space="preserve">EMP-108</t>
  </si>
  <si>
    <t xml:space="preserve">EMP-109</t>
  </si>
  <si>
    <t xml:space="preserve">Yolanda</t>
  </si>
  <si>
    <t xml:space="preserve">EMP-110</t>
  </si>
  <si>
    <t xml:space="preserve">COORDINADOR DE FLOTA</t>
  </si>
  <si>
    <t xml:space="preserve">EMP-111</t>
  </si>
  <si>
    <t xml:space="preserve">EMP-112</t>
  </si>
  <si>
    <t xml:space="preserve">EMP-113</t>
  </si>
  <si>
    <t xml:space="preserve">EMP-114</t>
  </si>
  <si>
    <t xml:space="preserve">Anderson</t>
  </si>
  <si>
    <t xml:space="preserve">EMP-115</t>
  </si>
  <si>
    <t xml:space="preserve">Marco</t>
  </si>
  <si>
    <t xml:space="preserve">EMP-116</t>
  </si>
  <si>
    <t xml:space="preserve">EMP-117</t>
  </si>
  <si>
    <t xml:space="preserve">Viviana</t>
  </si>
  <si>
    <t xml:space="preserve">EMP-118</t>
  </si>
  <si>
    <t xml:space="preserve">EMP-119</t>
  </si>
  <si>
    <t xml:space="preserve">EMP-120</t>
  </si>
  <si>
    <t xml:space="preserve">EMP-121</t>
  </si>
  <si>
    <t xml:space="preserve">EMP-122</t>
  </si>
  <si>
    <t xml:space="preserve">EMP-123</t>
  </si>
  <si>
    <t xml:space="preserve">EMP-124</t>
  </si>
  <si>
    <t xml:space="preserve">EMP-125</t>
  </si>
  <si>
    <t xml:space="preserve">ENFERMERA</t>
  </si>
  <si>
    <t xml:space="preserve">EMP-126</t>
  </si>
  <si>
    <t xml:space="preserve">EMP-127</t>
  </si>
  <si>
    <t xml:space="preserve">EMP-128</t>
  </si>
  <si>
    <t xml:space="preserve">EMP-129</t>
  </si>
  <si>
    <t xml:space="preserve">Angela</t>
  </si>
  <si>
    <t xml:space="preserve">EMP-130</t>
  </si>
  <si>
    <t xml:space="preserve">EMP-131</t>
  </si>
  <si>
    <t xml:space="preserve">EMP-132</t>
  </si>
  <si>
    <t xml:space="preserve">EMP-133</t>
  </si>
  <si>
    <t xml:space="preserve">EMP-134</t>
  </si>
  <si>
    <t xml:space="preserve">EMP-135</t>
  </si>
  <si>
    <t xml:space="preserve">Rodrigo</t>
  </si>
  <si>
    <t xml:space="preserve">EMP-136</t>
  </si>
  <si>
    <t xml:space="preserve">EMP-137</t>
  </si>
  <si>
    <t xml:space="preserve">EMP-138</t>
  </si>
  <si>
    <t xml:space="preserve">EMP-139</t>
  </si>
  <si>
    <t xml:space="preserve">EMP-140</t>
  </si>
  <si>
    <t xml:space="preserve">EMP-141</t>
  </si>
  <si>
    <t xml:space="preserve">EMP-142</t>
  </si>
  <si>
    <t xml:space="preserve">EMP-143</t>
  </si>
  <si>
    <t xml:space="preserve">EMP-144</t>
  </si>
  <si>
    <t xml:space="preserve">EMP-145</t>
  </si>
  <si>
    <t xml:space="preserve">Alejandra</t>
  </si>
  <si>
    <t xml:space="preserve">EMP-146</t>
  </si>
  <si>
    <t xml:space="preserve">EMP-147</t>
  </si>
  <si>
    <t xml:space="preserve">EMP-148</t>
  </si>
  <si>
    <t xml:space="preserve">EMP-149</t>
  </si>
  <si>
    <t xml:space="preserve">Carlos</t>
  </si>
  <si>
    <t xml:space="preserve">EMP-150</t>
  </si>
  <si>
    <t xml:space="preserve">EMP-151</t>
  </si>
  <si>
    <t xml:space="preserve">EMP-152</t>
  </si>
  <si>
    <t xml:space="preserve">EMP-153</t>
  </si>
  <si>
    <t xml:space="preserve">EMP-154</t>
  </si>
  <si>
    <t xml:space="preserve">EMP-155</t>
  </si>
  <si>
    <t xml:space="preserve">EMP-156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</si>
</sst>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dd/mm/yyyy"/>
    <numFmt numFmtId="168" formatCode="0.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1750905</v>
      </c>
      <c r="C2" s="4" t="s">
        <v>4</v>
      </c>
    </row>
    <row r="3" customFormat="false" ht="15" hidden="false" customHeight="false" outlineLevel="0" collapsed="false">
      <c r="A3" s="2" t="s">
        <v>5</v>
      </c>
      <c r="B3" s="3" t="n">
        <v>249095</v>
      </c>
      <c r="C3" s="4" t="s">
        <v>6</v>
      </c>
    </row>
    <row r="4" customFormat="false" ht="15" hidden="false" customHeight="false" outlineLevel="0" collapsed="false">
      <c r="A4" s="2" t="s">
        <v>7</v>
      </c>
      <c r="B4" s="5" t="n">
        <f aca="false">B2*2</f>
        <v>3501810</v>
      </c>
      <c r="C4" s="4" t="s">
        <v>8</v>
      </c>
    </row>
    <row r="5" customFormat="false" ht="15" hidden="false" customHeight="false" outlineLevel="0" collapsed="false">
      <c r="A5" s="2" t="s">
        <v>9</v>
      </c>
      <c r="B5" s="6" t="n">
        <v>0.04</v>
      </c>
      <c r="C5" s="4" t="s">
        <v>10</v>
      </c>
    </row>
    <row r="6" customFormat="false" ht="15" hidden="false" customHeight="false" outlineLevel="0" collapsed="false">
      <c r="A6" s="2" t="s">
        <v>11</v>
      </c>
      <c r="B6" s="6" t="n">
        <v>0.04</v>
      </c>
      <c r="C6" s="4" t="s">
        <v>12</v>
      </c>
    </row>
    <row r="7" customFormat="false" ht="15" hidden="false" customHeight="false" outlineLevel="0" collapsed="false">
      <c r="A7" s="2" t="s">
        <v>13</v>
      </c>
      <c r="B7" s="6" t="n">
        <v>0.085</v>
      </c>
      <c r="C7" s="4" t="s">
        <v>10</v>
      </c>
    </row>
    <row r="8" customFormat="false" ht="15" hidden="false" customHeight="false" outlineLevel="0" collapsed="false">
      <c r="A8" s="2" t="s">
        <v>14</v>
      </c>
      <c r="B8" s="6" t="n">
        <v>0.12</v>
      </c>
      <c r="C8" s="4" t="s">
        <v>12</v>
      </c>
    </row>
    <row r="9" customFormat="false" ht="15" hidden="false" customHeight="false" outlineLevel="0" collapsed="false">
      <c r="A9" s="2" t="s">
        <v>15</v>
      </c>
      <c r="B9" s="6" t="n">
        <v>0.04</v>
      </c>
      <c r="C9" s="4" t="s">
        <v>16</v>
      </c>
    </row>
    <row r="10" customFormat="false" ht="15" hidden="false" customHeight="false" outlineLevel="0" collapsed="false">
      <c r="A10" s="2" t="s">
        <v>17</v>
      </c>
      <c r="B10" s="7" t="n">
        <f aca="false">1/12</f>
        <v>0.0833333333333333</v>
      </c>
      <c r="C10" s="4" t="s">
        <v>18</v>
      </c>
    </row>
    <row r="11" customFormat="false" ht="15" hidden="false" customHeight="false" outlineLevel="0" collapsed="false">
      <c r="A11" s="2" t="s">
        <v>19</v>
      </c>
      <c r="B11" s="6" t="n">
        <v>0.12</v>
      </c>
      <c r="C11" s="4" t="s">
        <v>20</v>
      </c>
    </row>
    <row r="12" customFormat="false" ht="15" hidden="false" customHeight="false" outlineLevel="0" collapsed="false">
      <c r="A12" s="2" t="s">
        <v>21</v>
      </c>
      <c r="B12" s="7" t="n">
        <f aca="false">1/12</f>
        <v>0.0833333333333333</v>
      </c>
      <c r="C12" s="4" t="s">
        <v>22</v>
      </c>
    </row>
    <row r="13" customFormat="false" ht="15" hidden="false" customHeight="false" outlineLevel="0" collapsed="false">
      <c r="A13" s="2" t="s">
        <v>23</v>
      </c>
      <c r="B13" s="6" t="n">
        <v>0.0417</v>
      </c>
      <c r="C13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7" min="16" style="0" width="11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6" min="24" style="0" width="13"/>
    <col collapsed="false" customWidth="true" hidden="false" outlineLevel="0" max="28" min="27" style="0" width="12"/>
  </cols>
  <sheetData>
    <row r="1" customFormat="false" ht="45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8" t="s">
        <v>43</v>
      </c>
      <c r="T1" s="8" t="s">
        <v>44</v>
      </c>
      <c r="U1" s="8" t="s">
        <v>45</v>
      </c>
      <c r="V1" s="8" t="s">
        <v>46</v>
      </c>
      <c r="W1" s="8" t="s">
        <v>47</v>
      </c>
      <c r="X1" s="8" t="s">
        <v>48</v>
      </c>
      <c r="Y1" s="8" t="s">
        <v>49</v>
      </c>
      <c r="Z1" s="8" t="s">
        <v>50</v>
      </c>
      <c r="AA1" s="8" t="s">
        <v>51</v>
      </c>
      <c r="AB1" s="8" t="s">
        <v>52</v>
      </c>
    </row>
    <row r="2" customFormat="false" ht="15" hidden="false" customHeight="false" outlineLevel="0" collapsed="false">
      <c r="A2" s="9" t="s">
        <v>53</v>
      </c>
      <c r="B2" s="9" t="s">
        <v>54</v>
      </c>
      <c r="C2" s="9" t="s">
        <v>55</v>
      </c>
      <c r="D2" s="9" t="s">
        <v>56</v>
      </c>
      <c r="E2" s="10" t="n">
        <v>33486</v>
      </c>
      <c r="F2" s="9" t="s">
        <v>57</v>
      </c>
      <c r="G2" s="9" t="s">
        <v>58</v>
      </c>
      <c r="H2" s="9" t="s">
        <v>59</v>
      </c>
      <c r="I2" s="9" t="s">
        <v>60</v>
      </c>
      <c r="J2" s="10" t="n">
        <v>46082</v>
      </c>
      <c r="K2" s="10"/>
      <c r="L2" s="9" t="s">
        <v>61</v>
      </c>
      <c r="M2" s="9" t="s">
        <v>62</v>
      </c>
      <c r="N2" s="9" t="s">
        <v>63</v>
      </c>
      <c r="O2" s="9" t="s">
        <v>64</v>
      </c>
      <c r="P2" s="11" t="n">
        <v>0.0435</v>
      </c>
      <c r="Q2" s="12" t="n">
        <v>1750905</v>
      </c>
      <c r="R2" s="13" t="n">
        <f aca="false">IF(Q2&lt;=Parametros!$B$4,Parametros!$B$3,0)</f>
        <v>249095</v>
      </c>
      <c r="S2" s="13" t="n">
        <f aca="false">Q2*Parametros!$B$5</f>
        <v>70036.2</v>
      </c>
      <c r="T2" s="13" t="n">
        <f aca="false">Q2*Parametros!$B$6</f>
        <v>70036.2</v>
      </c>
      <c r="U2" s="13" t="n">
        <f aca="false">(Q2+R2)*Parametros!$B$10</f>
        <v>166666.666666667</v>
      </c>
      <c r="V2" s="13" t="n">
        <f aca="false">U2*Parametros!$B$11</f>
        <v>20000</v>
      </c>
      <c r="W2" s="13" t="n">
        <f aca="false">(Q2+R2)*Parametros!$B$12</f>
        <v>166666.666666667</v>
      </c>
      <c r="X2" s="13" t="n">
        <f aca="false">Q2*Parametros!$B$13</f>
        <v>73012.7385</v>
      </c>
      <c r="Y2" s="13" t="n">
        <f aca="false">Q2*Parametros!$B$7</f>
        <v>148826.925</v>
      </c>
      <c r="Z2" s="13" t="n">
        <f aca="false">Q2*Parametros!$B$8</f>
        <v>210108.6</v>
      </c>
      <c r="AA2" s="13" t="n">
        <f aca="false">Q2*Parametros!$B$9</f>
        <v>70036.2</v>
      </c>
      <c r="AB2" s="13" t="n">
        <f aca="false">Q2*P2</f>
        <v>76164.3675</v>
      </c>
    </row>
    <row r="3" customFormat="false" ht="15" hidden="false" customHeight="false" outlineLevel="0" collapsed="false">
      <c r="A3" s="14" t="s">
        <v>65</v>
      </c>
      <c r="B3" s="14" t="s">
        <v>66</v>
      </c>
      <c r="C3" s="14" t="s">
        <v>67</v>
      </c>
      <c r="D3" s="14" t="s">
        <v>56</v>
      </c>
      <c r="E3" s="15" t="n">
        <v>28106</v>
      </c>
      <c r="F3" s="14" t="s">
        <v>57</v>
      </c>
      <c r="G3" s="14" t="s">
        <v>58</v>
      </c>
      <c r="H3" s="14" t="s">
        <v>59</v>
      </c>
      <c r="I3" s="14" t="s">
        <v>68</v>
      </c>
      <c r="J3" s="15" t="n">
        <v>44838</v>
      </c>
      <c r="K3" s="15"/>
      <c r="L3" s="14" t="s">
        <v>61</v>
      </c>
      <c r="M3" s="14" t="s">
        <v>62</v>
      </c>
      <c r="N3" s="14" t="s">
        <v>63</v>
      </c>
      <c r="O3" s="14" t="s">
        <v>64</v>
      </c>
      <c r="P3" s="16" t="n">
        <v>0.00522</v>
      </c>
      <c r="Q3" s="17" t="n">
        <v>1750905</v>
      </c>
      <c r="R3" s="18" t="n">
        <f aca="false">IF(Q3&lt;=Parametros!$B$4,Parametros!$B$3,0)</f>
        <v>249095</v>
      </c>
      <c r="S3" s="18" t="n">
        <f aca="false">Q3*Parametros!$B$5</f>
        <v>70036.2</v>
      </c>
      <c r="T3" s="18" t="n">
        <f aca="false">Q3*Parametros!$B$6</f>
        <v>70036.2</v>
      </c>
      <c r="U3" s="18" t="n">
        <f aca="false">(Q3+R3)*Parametros!$B$10</f>
        <v>166666.666666667</v>
      </c>
      <c r="V3" s="18" t="n">
        <f aca="false">U3*Parametros!$B$11</f>
        <v>20000</v>
      </c>
      <c r="W3" s="18" t="n">
        <f aca="false">(Q3+R3)*Parametros!$B$12</f>
        <v>166666.666666667</v>
      </c>
      <c r="X3" s="18" t="n">
        <f aca="false">Q3*Parametros!$B$13</f>
        <v>73012.7385</v>
      </c>
      <c r="Y3" s="18" t="n">
        <f aca="false">Q3*Parametros!$B$7</f>
        <v>148826.925</v>
      </c>
      <c r="Z3" s="18" t="n">
        <f aca="false">Q3*Parametros!$B$8</f>
        <v>210108.6</v>
      </c>
      <c r="AA3" s="18" t="n">
        <f aca="false">Q3*Parametros!$B$9</f>
        <v>70036.2</v>
      </c>
      <c r="AB3" s="18" t="n">
        <f aca="false">Q3*P3</f>
        <v>9139.7241</v>
      </c>
    </row>
    <row r="4" customFormat="false" ht="15" hidden="false" customHeight="false" outlineLevel="0" collapsed="false">
      <c r="A4" s="14" t="s">
        <v>69</v>
      </c>
      <c r="B4" s="14" t="s">
        <v>70</v>
      </c>
      <c r="C4" s="14" t="s">
        <v>71</v>
      </c>
      <c r="D4" s="14" t="s">
        <v>56</v>
      </c>
      <c r="E4" s="15" t="n">
        <v>32609</v>
      </c>
      <c r="F4" s="14" t="s">
        <v>57</v>
      </c>
      <c r="G4" s="14" t="s">
        <v>58</v>
      </c>
      <c r="H4" s="14" t="s">
        <v>59</v>
      </c>
      <c r="I4" s="14" t="s">
        <v>60</v>
      </c>
      <c r="J4" s="15" t="n">
        <v>44958</v>
      </c>
      <c r="K4" s="15"/>
      <c r="L4" s="14" t="s">
        <v>72</v>
      </c>
      <c r="M4" s="14" t="s">
        <v>73</v>
      </c>
      <c r="N4" s="14" t="s">
        <v>63</v>
      </c>
      <c r="O4" s="14" t="s">
        <v>64</v>
      </c>
      <c r="P4" s="16" t="n">
        <v>0.0435</v>
      </c>
      <c r="Q4" s="17" t="n">
        <v>1750905</v>
      </c>
      <c r="R4" s="18" t="n">
        <f aca="false">IF(Q4&lt;=Parametros!$B$4,Parametros!$B$3,0)</f>
        <v>249095</v>
      </c>
      <c r="S4" s="18" t="n">
        <f aca="false">Q4*Parametros!$B$5</f>
        <v>70036.2</v>
      </c>
      <c r="T4" s="18" t="n">
        <f aca="false">Q4*Parametros!$B$6</f>
        <v>70036.2</v>
      </c>
      <c r="U4" s="18" t="n">
        <f aca="false">(Q4+R4)*Parametros!$B$10</f>
        <v>166666.666666667</v>
      </c>
      <c r="V4" s="18" t="n">
        <f aca="false">U4*Parametros!$B$11</f>
        <v>20000</v>
      </c>
      <c r="W4" s="18" t="n">
        <f aca="false">(Q4+R4)*Parametros!$B$12</f>
        <v>166666.666666667</v>
      </c>
      <c r="X4" s="18" t="n">
        <f aca="false">Q4*Parametros!$B$13</f>
        <v>73012.7385</v>
      </c>
      <c r="Y4" s="18" t="n">
        <f aca="false">Q4*Parametros!$B$7</f>
        <v>148826.925</v>
      </c>
      <c r="Z4" s="18" t="n">
        <f aca="false">Q4*Parametros!$B$8</f>
        <v>210108.6</v>
      </c>
      <c r="AA4" s="18" t="n">
        <f aca="false">Q4*Parametros!$B$9</f>
        <v>70036.2</v>
      </c>
      <c r="AB4" s="18" t="n">
        <f aca="false">Q4*P4</f>
        <v>76164.3675</v>
      </c>
    </row>
    <row r="5" customFormat="false" ht="15" hidden="false" customHeight="false" outlineLevel="0" collapsed="false">
      <c r="A5" s="14" t="s">
        <v>74</v>
      </c>
      <c r="B5" s="14" t="s">
        <v>75</v>
      </c>
      <c r="C5" s="14" t="s">
        <v>76</v>
      </c>
      <c r="D5" s="14" t="s">
        <v>77</v>
      </c>
      <c r="E5" s="15" t="n">
        <v>32736</v>
      </c>
      <c r="F5" s="14" t="s">
        <v>57</v>
      </c>
      <c r="G5" s="14" t="s">
        <v>58</v>
      </c>
      <c r="H5" s="14" t="s">
        <v>59</v>
      </c>
      <c r="I5" s="14" t="s">
        <v>60</v>
      </c>
      <c r="J5" s="15" t="n">
        <v>45597</v>
      </c>
      <c r="K5" s="15"/>
      <c r="L5" s="14" t="s">
        <v>78</v>
      </c>
      <c r="M5" s="14" t="s">
        <v>79</v>
      </c>
      <c r="N5" s="14" t="s">
        <v>63</v>
      </c>
      <c r="O5" s="14" t="s">
        <v>64</v>
      </c>
      <c r="P5" s="16" t="n">
        <v>0.0435</v>
      </c>
      <c r="Q5" s="17" t="n">
        <v>1750905</v>
      </c>
      <c r="R5" s="18" t="n">
        <f aca="false">IF(Q5&lt;=Parametros!$B$4,Parametros!$B$3,0)</f>
        <v>249095</v>
      </c>
      <c r="S5" s="18" t="n">
        <f aca="false">Q5*Parametros!$B$5</f>
        <v>70036.2</v>
      </c>
      <c r="T5" s="18" t="n">
        <f aca="false">Q5*Parametros!$B$6</f>
        <v>70036.2</v>
      </c>
      <c r="U5" s="18" t="n">
        <f aca="false">(Q5+R5)*Parametros!$B$10</f>
        <v>166666.666666667</v>
      </c>
      <c r="V5" s="18" t="n">
        <f aca="false">U5*Parametros!$B$11</f>
        <v>20000</v>
      </c>
      <c r="W5" s="18" t="n">
        <f aca="false">(Q5+R5)*Parametros!$B$12</f>
        <v>166666.666666667</v>
      </c>
      <c r="X5" s="18" t="n">
        <f aca="false">Q5*Parametros!$B$13</f>
        <v>73012.7385</v>
      </c>
      <c r="Y5" s="18" t="n">
        <f aca="false">Q5*Parametros!$B$7</f>
        <v>148826.925</v>
      </c>
      <c r="Z5" s="18" t="n">
        <f aca="false">Q5*Parametros!$B$8</f>
        <v>210108.6</v>
      </c>
      <c r="AA5" s="18" t="n">
        <f aca="false">Q5*Parametros!$B$9</f>
        <v>70036.2</v>
      </c>
      <c r="AB5" s="18" t="n">
        <f aca="false">Q5*P5</f>
        <v>76164.3675</v>
      </c>
    </row>
    <row r="6" customFormat="false" ht="15" hidden="false" customHeight="false" outlineLevel="0" collapsed="false">
      <c r="A6" s="14" t="s">
        <v>80</v>
      </c>
      <c r="B6" s="14" t="s">
        <v>81</v>
      </c>
      <c r="C6" s="14" t="s">
        <v>82</v>
      </c>
      <c r="D6" s="14" t="s">
        <v>77</v>
      </c>
      <c r="E6" s="15" t="n">
        <v>34029</v>
      </c>
      <c r="F6" s="14" t="s">
        <v>57</v>
      </c>
      <c r="G6" s="14" t="s">
        <v>58</v>
      </c>
      <c r="H6" s="14" t="s">
        <v>59</v>
      </c>
      <c r="I6" s="14" t="s">
        <v>60</v>
      </c>
      <c r="J6" s="15" t="n">
        <v>45726</v>
      </c>
      <c r="K6" s="15"/>
      <c r="L6" s="14" t="s">
        <v>78</v>
      </c>
      <c r="M6" s="14" t="s">
        <v>62</v>
      </c>
      <c r="N6" s="14" t="s">
        <v>63</v>
      </c>
      <c r="O6" s="14" t="s">
        <v>83</v>
      </c>
      <c r="P6" s="16" t="n">
        <v>0.0435</v>
      </c>
      <c r="Q6" s="17" t="n">
        <v>1750905</v>
      </c>
      <c r="R6" s="18" t="n">
        <f aca="false">IF(Q6&lt;=Parametros!$B$4,Parametros!$B$3,0)</f>
        <v>249095</v>
      </c>
      <c r="S6" s="18" t="n">
        <f aca="false">Q6*Parametros!$B$5</f>
        <v>70036.2</v>
      </c>
      <c r="T6" s="18" t="n">
        <f aca="false">Q6*Parametros!$B$6</f>
        <v>70036.2</v>
      </c>
      <c r="U6" s="18" t="n">
        <f aca="false">(Q6+R6)*Parametros!$B$10</f>
        <v>166666.666666667</v>
      </c>
      <c r="V6" s="18" t="n">
        <f aca="false">U6*Parametros!$B$11</f>
        <v>20000</v>
      </c>
      <c r="W6" s="18" t="n">
        <f aca="false">(Q6+R6)*Parametros!$B$12</f>
        <v>166666.666666667</v>
      </c>
      <c r="X6" s="18" t="n">
        <f aca="false">Q6*Parametros!$B$13</f>
        <v>73012.7385</v>
      </c>
      <c r="Y6" s="18" t="n">
        <f aca="false">Q6*Parametros!$B$7</f>
        <v>148826.925</v>
      </c>
      <c r="Z6" s="18" t="n">
        <f aca="false">Q6*Parametros!$B$8</f>
        <v>210108.6</v>
      </c>
      <c r="AA6" s="18" t="n">
        <f aca="false">Q6*Parametros!$B$9</f>
        <v>70036.2</v>
      </c>
      <c r="AB6" s="18" t="n">
        <f aca="false">Q6*P6</f>
        <v>76164.3675</v>
      </c>
    </row>
    <row r="7" customFormat="false" ht="15" hidden="false" customHeight="false" outlineLevel="0" collapsed="false">
      <c r="A7" s="14" t="s">
        <v>84</v>
      </c>
      <c r="B7" s="14" t="s">
        <v>81</v>
      </c>
      <c r="C7" s="14" t="s">
        <v>85</v>
      </c>
      <c r="D7" s="14" t="s">
        <v>56</v>
      </c>
      <c r="E7" s="15" t="n">
        <v>31492</v>
      </c>
      <c r="F7" s="14" t="s">
        <v>57</v>
      </c>
      <c r="G7" s="14" t="s">
        <v>58</v>
      </c>
      <c r="H7" s="14" t="s">
        <v>59</v>
      </c>
      <c r="I7" s="14" t="s">
        <v>60</v>
      </c>
      <c r="J7" s="15" t="n">
        <v>45866</v>
      </c>
      <c r="K7" s="15"/>
      <c r="L7" s="14" t="s">
        <v>86</v>
      </c>
      <c r="M7" s="14" t="s">
        <v>73</v>
      </c>
      <c r="N7" s="14" t="s">
        <v>63</v>
      </c>
      <c r="O7" s="14" t="s">
        <v>64</v>
      </c>
      <c r="P7" s="16" t="n">
        <v>0.0435</v>
      </c>
      <c r="Q7" s="17" t="n">
        <v>1750905</v>
      </c>
      <c r="R7" s="18" t="n">
        <f aca="false">IF(Q7&lt;=Parametros!$B$4,Parametros!$B$3,0)</f>
        <v>249095</v>
      </c>
      <c r="S7" s="18" t="n">
        <f aca="false">Q7*Parametros!$B$5</f>
        <v>70036.2</v>
      </c>
      <c r="T7" s="18" t="n">
        <f aca="false">Q7*Parametros!$B$6</f>
        <v>70036.2</v>
      </c>
      <c r="U7" s="18" t="n">
        <f aca="false">(Q7+R7)*Parametros!$B$10</f>
        <v>166666.666666667</v>
      </c>
      <c r="V7" s="18" t="n">
        <f aca="false">U7*Parametros!$B$11</f>
        <v>20000</v>
      </c>
      <c r="W7" s="18" t="n">
        <f aca="false">(Q7+R7)*Parametros!$B$12</f>
        <v>166666.666666667</v>
      </c>
      <c r="X7" s="18" t="n">
        <f aca="false">Q7*Parametros!$B$13</f>
        <v>73012.7385</v>
      </c>
      <c r="Y7" s="18" t="n">
        <f aca="false">Q7*Parametros!$B$7</f>
        <v>148826.925</v>
      </c>
      <c r="Z7" s="18" t="n">
        <f aca="false">Q7*Parametros!$B$8</f>
        <v>210108.6</v>
      </c>
      <c r="AA7" s="18" t="n">
        <f aca="false">Q7*Parametros!$B$9</f>
        <v>70036.2</v>
      </c>
      <c r="AB7" s="18" t="n">
        <f aca="false">Q7*P7</f>
        <v>76164.3675</v>
      </c>
    </row>
    <row r="8" customFormat="false" ht="15" hidden="false" customHeight="false" outlineLevel="0" collapsed="false">
      <c r="A8" s="14" t="s">
        <v>87</v>
      </c>
      <c r="B8" s="14" t="s">
        <v>88</v>
      </c>
      <c r="C8" s="14" t="s">
        <v>89</v>
      </c>
      <c r="D8" s="14" t="s">
        <v>77</v>
      </c>
      <c r="E8" s="15" t="n">
        <v>28718</v>
      </c>
      <c r="F8" s="14" t="s">
        <v>57</v>
      </c>
      <c r="G8" s="14" t="s">
        <v>58</v>
      </c>
      <c r="H8" s="14" t="s">
        <v>59</v>
      </c>
      <c r="I8" s="14" t="s">
        <v>60</v>
      </c>
      <c r="J8" s="15" t="n">
        <v>45058</v>
      </c>
      <c r="K8" s="15"/>
      <c r="L8" s="14" t="s">
        <v>78</v>
      </c>
      <c r="M8" s="14" t="s">
        <v>73</v>
      </c>
      <c r="N8" s="14" t="s">
        <v>63</v>
      </c>
      <c r="O8" s="14" t="s">
        <v>64</v>
      </c>
      <c r="P8" s="16" t="n">
        <v>0.0435</v>
      </c>
      <c r="Q8" s="17" t="n">
        <v>1750905</v>
      </c>
      <c r="R8" s="18" t="n">
        <f aca="false">IF(Q8&lt;=Parametros!$B$4,Parametros!$B$3,0)</f>
        <v>249095</v>
      </c>
      <c r="S8" s="18" t="n">
        <f aca="false">Q8*Parametros!$B$5</f>
        <v>70036.2</v>
      </c>
      <c r="T8" s="18" t="n">
        <f aca="false">Q8*Parametros!$B$6</f>
        <v>70036.2</v>
      </c>
      <c r="U8" s="18" t="n">
        <f aca="false">(Q8+R8)*Parametros!$B$10</f>
        <v>166666.666666667</v>
      </c>
      <c r="V8" s="18" t="n">
        <f aca="false">U8*Parametros!$B$11</f>
        <v>20000</v>
      </c>
      <c r="W8" s="18" t="n">
        <f aca="false">(Q8+R8)*Parametros!$B$12</f>
        <v>166666.666666667</v>
      </c>
      <c r="X8" s="18" t="n">
        <f aca="false">Q8*Parametros!$B$13</f>
        <v>73012.7385</v>
      </c>
      <c r="Y8" s="18" t="n">
        <f aca="false">Q8*Parametros!$B$7</f>
        <v>148826.925</v>
      </c>
      <c r="Z8" s="18" t="n">
        <f aca="false">Q8*Parametros!$B$8</f>
        <v>210108.6</v>
      </c>
      <c r="AA8" s="18" t="n">
        <f aca="false">Q8*Parametros!$B$9</f>
        <v>70036.2</v>
      </c>
      <c r="AB8" s="18" t="n">
        <f aca="false">Q8*P8</f>
        <v>76164.3675</v>
      </c>
    </row>
    <row r="9" customFormat="false" ht="15" hidden="false" customHeight="false" outlineLevel="0" collapsed="false">
      <c r="A9" s="14" t="s">
        <v>90</v>
      </c>
      <c r="B9" s="14" t="s">
        <v>91</v>
      </c>
      <c r="C9" s="14" t="s">
        <v>92</v>
      </c>
      <c r="D9" s="14" t="s">
        <v>56</v>
      </c>
      <c r="E9" s="15" t="n">
        <v>31878</v>
      </c>
      <c r="F9" s="14" t="s">
        <v>57</v>
      </c>
      <c r="G9" s="14" t="s">
        <v>58</v>
      </c>
      <c r="H9" s="14" t="s">
        <v>59</v>
      </c>
      <c r="I9" s="14" t="s">
        <v>93</v>
      </c>
      <c r="J9" s="15" t="n">
        <v>44256</v>
      </c>
      <c r="K9" s="15"/>
      <c r="L9" s="14" t="s">
        <v>78</v>
      </c>
      <c r="M9" s="14" t="s">
        <v>62</v>
      </c>
      <c r="N9" s="14" t="s">
        <v>63</v>
      </c>
      <c r="O9" s="14" t="s">
        <v>64</v>
      </c>
      <c r="P9" s="16" t="n">
        <v>0.00522</v>
      </c>
      <c r="Q9" s="17" t="n">
        <v>2000000</v>
      </c>
      <c r="R9" s="18" t="n">
        <f aca="false">IF(Q9&lt;=Parametros!$B$4,Parametros!$B$3,0)</f>
        <v>249095</v>
      </c>
      <c r="S9" s="18" t="n">
        <f aca="false">Q9*Parametros!$B$5</f>
        <v>80000</v>
      </c>
      <c r="T9" s="18" t="n">
        <f aca="false">Q9*Parametros!$B$6</f>
        <v>80000</v>
      </c>
      <c r="U9" s="18" t="n">
        <f aca="false">(Q9+R9)*Parametros!$B$10</f>
        <v>187424.583333333</v>
      </c>
      <c r="V9" s="18" t="n">
        <f aca="false">U9*Parametros!$B$11</f>
        <v>22490.95</v>
      </c>
      <c r="W9" s="18" t="n">
        <f aca="false">(Q9+R9)*Parametros!$B$12</f>
        <v>187424.583333333</v>
      </c>
      <c r="X9" s="18" t="n">
        <f aca="false">Q9*Parametros!$B$13</f>
        <v>83400</v>
      </c>
      <c r="Y9" s="18" t="n">
        <f aca="false">Q9*Parametros!$B$7</f>
        <v>170000</v>
      </c>
      <c r="Z9" s="18" t="n">
        <f aca="false">Q9*Parametros!$B$8</f>
        <v>240000</v>
      </c>
      <c r="AA9" s="18" t="n">
        <f aca="false">Q9*Parametros!$B$9</f>
        <v>80000</v>
      </c>
      <c r="AB9" s="18" t="n">
        <f aca="false">Q9*P9</f>
        <v>10440</v>
      </c>
    </row>
    <row r="10" customFormat="false" ht="15" hidden="false" customHeight="false" outlineLevel="0" collapsed="false">
      <c r="A10" s="14" t="s">
        <v>94</v>
      </c>
      <c r="B10" s="14" t="s">
        <v>95</v>
      </c>
      <c r="C10" s="14" t="s">
        <v>96</v>
      </c>
      <c r="D10" s="14" t="s">
        <v>56</v>
      </c>
      <c r="E10" s="15" t="n">
        <v>28492</v>
      </c>
      <c r="F10" s="14" t="s">
        <v>57</v>
      </c>
      <c r="G10" s="14" t="s">
        <v>58</v>
      </c>
      <c r="H10" s="14" t="s">
        <v>59</v>
      </c>
      <c r="I10" s="14" t="s">
        <v>93</v>
      </c>
      <c r="J10" s="15" t="n">
        <v>46167</v>
      </c>
      <c r="K10" s="15" t="n">
        <v>46174</v>
      </c>
      <c r="L10" s="14" t="s">
        <v>97</v>
      </c>
      <c r="M10" s="14" t="s">
        <v>98</v>
      </c>
      <c r="N10" s="14" t="s">
        <v>63</v>
      </c>
      <c r="O10" s="14" t="s">
        <v>64</v>
      </c>
      <c r="P10" s="16" t="n">
        <v>0.00522</v>
      </c>
      <c r="Q10" s="17" t="n">
        <v>2000000</v>
      </c>
      <c r="R10" s="18" t="n">
        <f aca="false">IF(Q10&lt;=Parametros!$B$4,Parametros!$B$3,0)</f>
        <v>249095</v>
      </c>
      <c r="S10" s="18" t="n">
        <f aca="false">Q10*Parametros!$B$5</f>
        <v>80000</v>
      </c>
      <c r="T10" s="18" t="n">
        <f aca="false">Q10*Parametros!$B$6</f>
        <v>80000</v>
      </c>
      <c r="U10" s="18" t="n">
        <f aca="false">(Q10+R10)*Parametros!$B$10</f>
        <v>187424.583333333</v>
      </c>
      <c r="V10" s="18" t="n">
        <f aca="false">U10*Parametros!$B$11</f>
        <v>22490.95</v>
      </c>
      <c r="W10" s="18" t="n">
        <f aca="false">(Q10+R10)*Parametros!$B$12</f>
        <v>187424.583333333</v>
      </c>
      <c r="X10" s="18" t="n">
        <f aca="false">Q10*Parametros!$B$13</f>
        <v>83400</v>
      </c>
      <c r="Y10" s="18" t="n">
        <f aca="false">Q10*Parametros!$B$7</f>
        <v>170000</v>
      </c>
      <c r="Z10" s="18" t="n">
        <f aca="false">Q10*Parametros!$B$8</f>
        <v>240000</v>
      </c>
      <c r="AA10" s="18" t="n">
        <f aca="false">Q10*Parametros!$B$9</f>
        <v>80000</v>
      </c>
      <c r="AB10" s="18" t="n">
        <f aca="false">Q10*P10</f>
        <v>10440</v>
      </c>
    </row>
    <row r="11" customFormat="false" ht="15" hidden="false" customHeight="false" outlineLevel="0" collapsed="false">
      <c r="A11" s="14" t="s">
        <v>99</v>
      </c>
      <c r="B11" s="14" t="s">
        <v>100</v>
      </c>
      <c r="C11" s="14" t="s">
        <v>101</v>
      </c>
      <c r="D11" s="14" t="s">
        <v>77</v>
      </c>
      <c r="E11" s="15" t="n">
        <v>32384</v>
      </c>
      <c r="F11" s="14" t="s">
        <v>57</v>
      </c>
      <c r="G11" s="14" t="s">
        <v>58</v>
      </c>
      <c r="H11" s="14" t="s">
        <v>59</v>
      </c>
      <c r="I11" s="14" t="s">
        <v>93</v>
      </c>
      <c r="J11" s="15" t="n">
        <v>46014</v>
      </c>
      <c r="K11" s="15"/>
      <c r="L11" s="14" t="s">
        <v>97</v>
      </c>
      <c r="M11" s="14" t="s">
        <v>62</v>
      </c>
      <c r="N11" s="14" t="s">
        <v>63</v>
      </c>
      <c r="O11" s="14" t="s">
        <v>64</v>
      </c>
      <c r="P11" s="16" t="n">
        <v>0.00522</v>
      </c>
      <c r="Q11" s="17" t="n">
        <v>2000000</v>
      </c>
      <c r="R11" s="18" t="n">
        <f aca="false">IF(Q11&lt;=Parametros!$B$4,Parametros!$B$3,0)</f>
        <v>249095</v>
      </c>
      <c r="S11" s="18" t="n">
        <f aca="false">Q11*Parametros!$B$5</f>
        <v>80000</v>
      </c>
      <c r="T11" s="18" t="n">
        <f aca="false">Q11*Parametros!$B$6</f>
        <v>80000</v>
      </c>
      <c r="U11" s="18" t="n">
        <f aca="false">(Q11+R11)*Parametros!$B$10</f>
        <v>187424.583333333</v>
      </c>
      <c r="V11" s="18" t="n">
        <f aca="false">U11*Parametros!$B$11</f>
        <v>22490.95</v>
      </c>
      <c r="W11" s="18" t="n">
        <f aca="false">(Q11+R11)*Parametros!$B$12</f>
        <v>187424.583333333</v>
      </c>
      <c r="X11" s="18" t="n">
        <f aca="false">Q11*Parametros!$B$13</f>
        <v>83400</v>
      </c>
      <c r="Y11" s="18" t="n">
        <f aca="false">Q11*Parametros!$B$7</f>
        <v>170000</v>
      </c>
      <c r="Z11" s="18" t="n">
        <f aca="false">Q11*Parametros!$B$8</f>
        <v>240000</v>
      </c>
      <c r="AA11" s="18" t="n">
        <f aca="false">Q11*Parametros!$B$9</f>
        <v>80000</v>
      </c>
      <c r="AB11" s="18" t="n">
        <f aca="false">Q11*P11</f>
        <v>10440</v>
      </c>
    </row>
    <row r="12" customFormat="false" ht="15" hidden="false" customHeight="false" outlineLevel="0" collapsed="false">
      <c r="A12" s="14" t="s">
        <v>102</v>
      </c>
      <c r="B12" s="14" t="s">
        <v>81</v>
      </c>
      <c r="C12" s="14" t="s">
        <v>103</v>
      </c>
      <c r="D12" s="14" t="s">
        <v>56</v>
      </c>
      <c r="E12" s="15" t="n">
        <v>26527</v>
      </c>
      <c r="F12" s="14" t="s">
        <v>57</v>
      </c>
      <c r="G12" s="14" t="s">
        <v>58</v>
      </c>
      <c r="H12" s="14" t="s">
        <v>59</v>
      </c>
      <c r="I12" s="14" t="s">
        <v>93</v>
      </c>
      <c r="J12" s="15" t="n">
        <v>45413</v>
      </c>
      <c r="K12" s="15"/>
      <c r="L12" s="14" t="s">
        <v>78</v>
      </c>
      <c r="M12" s="14" t="s">
        <v>62</v>
      </c>
      <c r="N12" s="14" t="s">
        <v>63</v>
      </c>
      <c r="O12" s="14" t="s">
        <v>64</v>
      </c>
      <c r="P12" s="16" t="n">
        <v>0.00522</v>
      </c>
      <c r="Q12" s="17" t="n">
        <v>2000000</v>
      </c>
      <c r="R12" s="18" t="n">
        <f aca="false">IF(Q12&lt;=Parametros!$B$4,Parametros!$B$3,0)</f>
        <v>249095</v>
      </c>
      <c r="S12" s="18" t="n">
        <f aca="false">Q12*Parametros!$B$5</f>
        <v>80000</v>
      </c>
      <c r="T12" s="18" t="n">
        <f aca="false">Q12*Parametros!$B$6</f>
        <v>80000</v>
      </c>
      <c r="U12" s="18" t="n">
        <f aca="false">(Q12+R12)*Parametros!$B$10</f>
        <v>187424.583333333</v>
      </c>
      <c r="V12" s="18" t="n">
        <f aca="false">U12*Parametros!$B$11</f>
        <v>22490.95</v>
      </c>
      <c r="W12" s="18" t="n">
        <f aca="false">(Q12+R12)*Parametros!$B$12</f>
        <v>187424.583333333</v>
      </c>
      <c r="X12" s="18" t="n">
        <f aca="false">Q12*Parametros!$B$13</f>
        <v>83400</v>
      </c>
      <c r="Y12" s="18" t="n">
        <f aca="false">Q12*Parametros!$B$7</f>
        <v>170000</v>
      </c>
      <c r="Z12" s="18" t="n">
        <f aca="false">Q12*Parametros!$B$8</f>
        <v>240000</v>
      </c>
      <c r="AA12" s="18" t="n">
        <f aca="false">Q12*Parametros!$B$9</f>
        <v>80000</v>
      </c>
      <c r="AB12" s="18" t="n">
        <f aca="false">Q12*P12</f>
        <v>10440</v>
      </c>
    </row>
    <row r="13" customFormat="false" ht="15" hidden="false" customHeight="false" outlineLevel="0" collapsed="false">
      <c r="A13" s="14" t="s">
        <v>104</v>
      </c>
      <c r="B13" s="14" t="s">
        <v>105</v>
      </c>
      <c r="C13" s="14" t="s">
        <v>106</v>
      </c>
      <c r="D13" s="14" t="s">
        <v>56</v>
      </c>
      <c r="E13" s="15" t="n">
        <v>28878</v>
      </c>
      <c r="F13" s="14" t="s">
        <v>57</v>
      </c>
      <c r="G13" s="14" t="s">
        <v>107</v>
      </c>
      <c r="H13" s="14" t="s">
        <v>108</v>
      </c>
      <c r="I13" s="14" t="s">
        <v>93</v>
      </c>
      <c r="J13" s="15" t="n">
        <v>45383</v>
      </c>
      <c r="K13" s="15"/>
      <c r="L13" s="14" t="s">
        <v>86</v>
      </c>
      <c r="M13" s="14" t="s">
        <v>98</v>
      </c>
      <c r="N13" s="14" t="s">
        <v>63</v>
      </c>
      <c r="O13" s="14" t="s">
        <v>64</v>
      </c>
      <c r="P13" s="16" t="n">
        <v>0.00522</v>
      </c>
      <c r="Q13" s="17" t="n">
        <v>2000000</v>
      </c>
      <c r="R13" s="18" t="n">
        <f aca="false">IF(Q13&lt;=Parametros!$B$4,Parametros!$B$3,0)</f>
        <v>249095</v>
      </c>
      <c r="S13" s="18" t="n">
        <f aca="false">Q13*Parametros!$B$5</f>
        <v>80000</v>
      </c>
      <c r="T13" s="18" t="n">
        <f aca="false">Q13*Parametros!$B$6</f>
        <v>80000</v>
      </c>
      <c r="U13" s="18" t="n">
        <f aca="false">(Q13+R13)*Parametros!$B$10</f>
        <v>187424.583333333</v>
      </c>
      <c r="V13" s="18" t="n">
        <f aca="false">U13*Parametros!$B$11</f>
        <v>22490.95</v>
      </c>
      <c r="W13" s="18" t="n">
        <f aca="false">(Q13+R13)*Parametros!$B$12</f>
        <v>187424.583333333</v>
      </c>
      <c r="X13" s="18" t="n">
        <f aca="false">Q13*Parametros!$B$13</f>
        <v>83400</v>
      </c>
      <c r="Y13" s="18" t="n">
        <f aca="false">Q13*Parametros!$B$7</f>
        <v>170000</v>
      </c>
      <c r="Z13" s="18" t="n">
        <f aca="false">Q13*Parametros!$B$8</f>
        <v>240000</v>
      </c>
      <c r="AA13" s="18" t="n">
        <f aca="false">Q13*Parametros!$B$9</f>
        <v>80000</v>
      </c>
      <c r="AB13" s="18" t="n">
        <f aca="false">Q13*P13</f>
        <v>10440</v>
      </c>
    </row>
    <row r="14" customFormat="false" ht="15" hidden="false" customHeight="false" outlineLevel="0" collapsed="false">
      <c r="A14" s="14" t="s">
        <v>109</v>
      </c>
      <c r="B14" s="14" t="s">
        <v>110</v>
      </c>
      <c r="C14" s="14" t="s">
        <v>111</v>
      </c>
      <c r="D14" s="14" t="s">
        <v>77</v>
      </c>
      <c r="E14" s="15" t="n">
        <v>28595</v>
      </c>
      <c r="F14" s="14" t="s">
        <v>57</v>
      </c>
      <c r="G14" s="14" t="s">
        <v>58</v>
      </c>
      <c r="H14" s="14" t="s">
        <v>59</v>
      </c>
      <c r="I14" s="14" t="s">
        <v>112</v>
      </c>
      <c r="J14" s="15" t="n">
        <v>45932</v>
      </c>
      <c r="K14" s="15"/>
      <c r="L14" s="14" t="s">
        <v>86</v>
      </c>
      <c r="M14" s="14" t="s">
        <v>73</v>
      </c>
      <c r="N14" s="14" t="s">
        <v>63</v>
      </c>
      <c r="O14" s="14" t="s">
        <v>64</v>
      </c>
      <c r="P14" s="16" t="n">
        <v>0.0696</v>
      </c>
      <c r="Q14" s="17" t="n">
        <v>1900000</v>
      </c>
      <c r="R14" s="18" t="n">
        <f aca="false">IF(Q14&lt;=Parametros!$B$4,Parametros!$B$3,0)</f>
        <v>249095</v>
      </c>
      <c r="S14" s="18" t="n">
        <f aca="false">Q14*Parametros!$B$5</f>
        <v>76000</v>
      </c>
      <c r="T14" s="18" t="n">
        <f aca="false">Q14*Parametros!$B$6</f>
        <v>76000</v>
      </c>
      <c r="U14" s="18" t="n">
        <f aca="false">(Q14+R14)*Parametros!$B$10</f>
        <v>179091.25</v>
      </c>
      <c r="V14" s="18" t="n">
        <f aca="false">U14*Parametros!$B$11</f>
        <v>21490.95</v>
      </c>
      <c r="W14" s="18" t="n">
        <f aca="false">(Q14+R14)*Parametros!$B$12</f>
        <v>179091.25</v>
      </c>
      <c r="X14" s="18" t="n">
        <f aca="false">Q14*Parametros!$B$13</f>
        <v>79230</v>
      </c>
      <c r="Y14" s="18" t="n">
        <f aca="false">Q14*Parametros!$B$7</f>
        <v>161500</v>
      </c>
      <c r="Z14" s="18" t="n">
        <f aca="false">Q14*Parametros!$B$8</f>
        <v>228000</v>
      </c>
      <c r="AA14" s="18" t="n">
        <f aca="false">Q14*Parametros!$B$9</f>
        <v>76000</v>
      </c>
      <c r="AB14" s="18" t="n">
        <f aca="false">Q14*P14</f>
        <v>132240</v>
      </c>
    </row>
    <row r="15" customFormat="false" ht="15" hidden="false" customHeight="false" outlineLevel="0" collapsed="false">
      <c r="A15" s="14" t="s">
        <v>113</v>
      </c>
      <c r="B15" s="14" t="s">
        <v>70</v>
      </c>
      <c r="C15" s="14" t="s">
        <v>114</v>
      </c>
      <c r="D15" s="14" t="s">
        <v>56</v>
      </c>
      <c r="E15" s="15" t="n">
        <v>27760</v>
      </c>
      <c r="F15" s="14" t="s">
        <v>57</v>
      </c>
      <c r="G15" s="14" t="s">
        <v>58</v>
      </c>
      <c r="H15" s="14" t="s">
        <v>59</v>
      </c>
      <c r="I15" s="14" t="s">
        <v>112</v>
      </c>
      <c r="J15" s="15" t="n">
        <v>45993</v>
      </c>
      <c r="K15" s="15"/>
      <c r="L15" s="14" t="s">
        <v>97</v>
      </c>
      <c r="M15" s="14" t="s">
        <v>62</v>
      </c>
      <c r="N15" s="14" t="s">
        <v>63</v>
      </c>
      <c r="O15" s="14" t="s">
        <v>64</v>
      </c>
      <c r="P15" s="16" t="n">
        <v>0.0696</v>
      </c>
      <c r="Q15" s="17" t="n">
        <v>1900000</v>
      </c>
      <c r="R15" s="18" t="n">
        <f aca="false">IF(Q15&lt;=Parametros!$B$4,Parametros!$B$3,0)</f>
        <v>249095</v>
      </c>
      <c r="S15" s="18" t="n">
        <f aca="false">Q15*Parametros!$B$5</f>
        <v>76000</v>
      </c>
      <c r="T15" s="18" t="n">
        <f aca="false">Q15*Parametros!$B$6</f>
        <v>76000</v>
      </c>
      <c r="U15" s="18" t="n">
        <f aca="false">(Q15+R15)*Parametros!$B$10</f>
        <v>179091.25</v>
      </c>
      <c r="V15" s="18" t="n">
        <f aca="false">U15*Parametros!$B$11</f>
        <v>21490.95</v>
      </c>
      <c r="W15" s="18" t="n">
        <f aca="false">(Q15+R15)*Parametros!$B$12</f>
        <v>179091.25</v>
      </c>
      <c r="X15" s="18" t="n">
        <f aca="false">Q15*Parametros!$B$13</f>
        <v>79230</v>
      </c>
      <c r="Y15" s="18" t="n">
        <f aca="false">Q15*Parametros!$B$7</f>
        <v>161500</v>
      </c>
      <c r="Z15" s="18" t="n">
        <f aca="false">Q15*Parametros!$B$8</f>
        <v>228000</v>
      </c>
      <c r="AA15" s="18" t="n">
        <f aca="false">Q15*Parametros!$B$9</f>
        <v>76000</v>
      </c>
      <c r="AB15" s="18" t="n">
        <f aca="false">Q15*P15</f>
        <v>132240</v>
      </c>
    </row>
    <row r="16" customFormat="false" ht="15" hidden="false" customHeight="false" outlineLevel="0" collapsed="false">
      <c r="A16" s="14" t="s">
        <v>115</v>
      </c>
      <c r="B16" s="14" t="s">
        <v>116</v>
      </c>
      <c r="C16" s="14" t="s">
        <v>117</v>
      </c>
      <c r="D16" s="14" t="s">
        <v>56</v>
      </c>
      <c r="E16" s="15" t="n">
        <v>30068</v>
      </c>
      <c r="F16" s="14" t="s">
        <v>57</v>
      </c>
      <c r="G16" s="14" t="s">
        <v>58</v>
      </c>
      <c r="H16" s="14" t="s">
        <v>59</v>
      </c>
      <c r="I16" s="14" t="s">
        <v>60</v>
      </c>
      <c r="J16" s="15" t="n">
        <v>43826</v>
      </c>
      <c r="K16" s="15"/>
      <c r="L16" s="14" t="s">
        <v>86</v>
      </c>
      <c r="M16" s="14" t="s">
        <v>79</v>
      </c>
      <c r="N16" s="14" t="s">
        <v>63</v>
      </c>
      <c r="O16" s="14" t="s">
        <v>64</v>
      </c>
      <c r="P16" s="16" t="n">
        <v>0.0435</v>
      </c>
      <c r="Q16" s="17" t="n">
        <v>1750905</v>
      </c>
      <c r="R16" s="18" t="n">
        <f aca="false">IF(Q16&lt;=Parametros!$B$4,Parametros!$B$3,0)</f>
        <v>249095</v>
      </c>
      <c r="S16" s="18" t="n">
        <f aca="false">Q16*Parametros!$B$5</f>
        <v>70036.2</v>
      </c>
      <c r="T16" s="18" t="n">
        <f aca="false">Q16*Parametros!$B$6</f>
        <v>70036.2</v>
      </c>
      <c r="U16" s="18" t="n">
        <f aca="false">(Q16+R16)*Parametros!$B$10</f>
        <v>166666.666666667</v>
      </c>
      <c r="V16" s="18" t="n">
        <f aca="false">U16*Parametros!$B$11</f>
        <v>20000</v>
      </c>
      <c r="W16" s="18" t="n">
        <f aca="false">(Q16+R16)*Parametros!$B$12</f>
        <v>166666.666666667</v>
      </c>
      <c r="X16" s="18" t="n">
        <f aca="false">Q16*Parametros!$B$13</f>
        <v>73012.7385</v>
      </c>
      <c r="Y16" s="18" t="n">
        <f aca="false">Q16*Parametros!$B$7</f>
        <v>148826.925</v>
      </c>
      <c r="Z16" s="18" t="n">
        <f aca="false">Q16*Parametros!$B$8</f>
        <v>210108.6</v>
      </c>
      <c r="AA16" s="18" t="n">
        <f aca="false">Q16*Parametros!$B$9</f>
        <v>70036.2</v>
      </c>
      <c r="AB16" s="18" t="n">
        <f aca="false">Q16*P16</f>
        <v>76164.3675</v>
      </c>
    </row>
    <row r="17" customFormat="false" ht="15" hidden="false" customHeight="false" outlineLevel="0" collapsed="false">
      <c r="A17" s="14" t="s">
        <v>118</v>
      </c>
      <c r="B17" s="14" t="s">
        <v>105</v>
      </c>
      <c r="C17" s="14" t="s">
        <v>106</v>
      </c>
      <c r="D17" s="14" t="s">
        <v>56</v>
      </c>
      <c r="E17" s="15" t="n">
        <v>27743</v>
      </c>
      <c r="F17" s="14" t="s">
        <v>57</v>
      </c>
      <c r="G17" s="14" t="s">
        <v>58</v>
      </c>
      <c r="H17" s="14" t="s">
        <v>59</v>
      </c>
      <c r="I17" s="14" t="s">
        <v>112</v>
      </c>
      <c r="J17" s="15" t="n">
        <v>46217</v>
      </c>
      <c r="K17" s="15"/>
      <c r="L17" s="14" t="s">
        <v>61</v>
      </c>
      <c r="M17" s="14" t="s">
        <v>73</v>
      </c>
      <c r="N17" s="14" t="s">
        <v>63</v>
      </c>
      <c r="O17" s="14" t="s">
        <v>64</v>
      </c>
      <c r="P17" s="16" t="n">
        <v>0.0696</v>
      </c>
      <c r="Q17" s="17" t="n">
        <v>1900000</v>
      </c>
      <c r="R17" s="18" t="n">
        <f aca="false">IF(Q17&lt;=Parametros!$B$4,Parametros!$B$3,0)</f>
        <v>249095</v>
      </c>
      <c r="S17" s="18" t="n">
        <f aca="false">Q17*Parametros!$B$5</f>
        <v>76000</v>
      </c>
      <c r="T17" s="18" t="n">
        <f aca="false">Q17*Parametros!$B$6</f>
        <v>76000</v>
      </c>
      <c r="U17" s="18" t="n">
        <f aca="false">(Q17+R17)*Parametros!$B$10</f>
        <v>179091.25</v>
      </c>
      <c r="V17" s="18" t="n">
        <f aca="false">U17*Parametros!$B$11</f>
        <v>21490.95</v>
      </c>
      <c r="W17" s="18" t="n">
        <f aca="false">(Q17+R17)*Parametros!$B$12</f>
        <v>179091.25</v>
      </c>
      <c r="X17" s="18" t="n">
        <f aca="false">Q17*Parametros!$B$13</f>
        <v>79230</v>
      </c>
      <c r="Y17" s="18" t="n">
        <f aca="false">Q17*Parametros!$B$7</f>
        <v>161500</v>
      </c>
      <c r="Z17" s="18" t="n">
        <f aca="false">Q17*Parametros!$B$8</f>
        <v>228000</v>
      </c>
      <c r="AA17" s="18" t="n">
        <f aca="false">Q17*Parametros!$B$9</f>
        <v>76000</v>
      </c>
      <c r="AB17" s="18" t="n">
        <f aca="false">Q17*P17</f>
        <v>132240</v>
      </c>
    </row>
    <row r="18" customFormat="false" ht="15" hidden="false" customHeight="false" outlineLevel="0" collapsed="false">
      <c r="A18" s="14" t="s">
        <v>119</v>
      </c>
      <c r="B18" s="14" t="s">
        <v>110</v>
      </c>
      <c r="C18" s="14" t="s">
        <v>85</v>
      </c>
      <c r="D18" s="14" t="s">
        <v>56</v>
      </c>
      <c r="E18" s="15" t="n">
        <v>28024</v>
      </c>
      <c r="F18" s="14" t="s">
        <v>57</v>
      </c>
      <c r="G18" s="14" t="s">
        <v>58</v>
      </c>
      <c r="H18" s="14" t="s">
        <v>59</v>
      </c>
      <c r="I18" s="14" t="s">
        <v>60</v>
      </c>
      <c r="J18" s="15" t="n">
        <v>46056</v>
      </c>
      <c r="K18" s="15"/>
      <c r="L18" s="14" t="s">
        <v>97</v>
      </c>
      <c r="M18" s="14" t="s">
        <v>73</v>
      </c>
      <c r="N18" s="14" t="s">
        <v>63</v>
      </c>
      <c r="O18" s="14" t="s">
        <v>83</v>
      </c>
      <c r="P18" s="16" t="n">
        <v>0.0435</v>
      </c>
      <c r="Q18" s="17" t="n">
        <v>1750905</v>
      </c>
      <c r="R18" s="18" t="n">
        <f aca="false">IF(Q18&lt;=Parametros!$B$4,Parametros!$B$3,0)</f>
        <v>249095</v>
      </c>
      <c r="S18" s="18" t="n">
        <f aca="false">Q18*Parametros!$B$5</f>
        <v>70036.2</v>
      </c>
      <c r="T18" s="18" t="n">
        <f aca="false">Q18*Parametros!$B$6</f>
        <v>70036.2</v>
      </c>
      <c r="U18" s="18" t="n">
        <f aca="false">(Q18+R18)*Parametros!$B$10</f>
        <v>166666.666666667</v>
      </c>
      <c r="V18" s="18" t="n">
        <f aca="false">U18*Parametros!$B$11</f>
        <v>20000</v>
      </c>
      <c r="W18" s="18" t="n">
        <f aca="false">(Q18+R18)*Parametros!$B$12</f>
        <v>166666.666666667</v>
      </c>
      <c r="X18" s="18" t="n">
        <f aca="false">Q18*Parametros!$B$13</f>
        <v>73012.7385</v>
      </c>
      <c r="Y18" s="18" t="n">
        <f aca="false">Q18*Parametros!$B$7</f>
        <v>148826.925</v>
      </c>
      <c r="Z18" s="18" t="n">
        <f aca="false">Q18*Parametros!$B$8</f>
        <v>210108.6</v>
      </c>
      <c r="AA18" s="18" t="n">
        <f aca="false">Q18*Parametros!$B$9</f>
        <v>70036.2</v>
      </c>
      <c r="AB18" s="18" t="n">
        <f aca="false">Q18*P18</f>
        <v>76164.3675</v>
      </c>
    </row>
    <row r="19" customFormat="false" ht="15" hidden="false" customHeight="false" outlineLevel="0" collapsed="false">
      <c r="A19" s="14" t="s">
        <v>120</v>
      </c>
      <c r="B19" s="14" t="s">
        <v>121</v>
      </c>
      <c r="C19" s="14" t="s">
        <v>122</v>
      </c>
      <c r="D19" s="14" t="s">
        <v>77</v>
      </c>
      <c r="E19" s="15" t="n">
        <v>30377</v>
      </c>
      <c r="F19" s="14" t="s">
        <v>57</v>
      </c>
      <c r="G19" s="14" t="s">
        <v>58</v>
      </c>
      <c r="H19" s="14" t="s">
        <v>59</v>
      </c>
      <c r="I19" s="14" t="s">
        <v>93</v>
      </c>
      <c r="J19" s="15" t="n">
        <v>46029</v>
      </c>
      <c r="K19" s="15"/>
      <c r="L19" s="14" t="s">
        <v>86</v>
      </c>
      <c r="M19" s="14" t="s">
        <v>73</v>
      </c>
      <c r="N19" s="14" t="s">
        <v>63</v>
      </c>
      <c r="O19" s="14" t="s">
        <v>64</v>
      </c>
      <c r="P19" s="16" t="n">
        <v>0.00522</v>
      </c>
      <c r="Q19" s="17" t="n">
        <v>2000000</v>
      </c>
      <c r="R19" s="18" t="n">
        <f aca="false">IF(Q19&lt;=Parametros!$B$4,Parametros!$B$3,0)</f>
        <v>249095</v>
      </c>
      <c r="S19" s="18" t="n">
        <f aca="false">Q19*Parametros!$B$5</f>
        <v>80000</v>
      </c>
      <c r="T19" s="18" t="n">
        <f aca="false">Q19*Parametros!$B$6</f>
        <v>80000</v>
      </c>
      <c r="U19" s="18" t="n">
        <f aca="false">(Q19+R19)*Parametros!$B$10</f>
        <v>187424.583333333</v>
      </c>
      <c r="V19" s="18" t="n">
        <f aca="false">U19*Parametros!$B$11</f>
        <v>22490.95</v>
      </c>
      <c r="W19" s="18" t="n">
        <f aca="false">(Q19+R19)*Parametros!$B$12</f>
        <v>187424.583333333</v>
      </c>
      <c r="X19" s="18" t="n">
        <f aca="false">Q19*Parametros!$B$13</f>
        <v>83400</v>
      </c>
      <c r="Y19" s="18" t="n">
        <f aca="false">Q19*Parametros!$B$7</f>
        <v>170000</v>
      </c>
      <c r="Z19" s="18" t="n">
        <f aca="false">Q19*Parametros!$B$8</f>
        <v>240000</v>
      </c>
      <c r="AA19" s="18" t="n">
        <f aca="false">Q19*Parametros!$B$9</f>
        <v>80000</v>
      </c>
      <c r="AB19" s="18" t="n">
        <f aca="false">Q19*P19</f>
        <v>10440</v>
      </c>
    </row>
    <row r="20" customFormat="false" ht="15" hidden="false" customHeight="false" outlineLevel="0" collapsed="false">
      <c r="A20" s="14" t="s">
        <v>123</v>
      </c>
      <c r="B20" s="14" t="s">
        <v>124</v>
      </c>
      <c r="C20" s="14" t="s">
        <v>125</v>
      </c>
      <c r="D20" s="14" t="s">
        <v>56</v>
      </c>
      <c r="E20" s="15" t="n">
        <v>30016</v>
      </c>
      <c r="F20" s="14" t="s">
        <v>57</v>
      </c>
      <c r="G20" s="14" t="s">
        <v>58</v>
      </c>
      <c r="H20" s="14" t="s">
        <v>59</v>
      </c>
      <c r="I20" s="14" t="s">
        <v>112</v>
      </c>
      <c r="J20" s="15" t="n">
        <v>46113</v>
      </c>
      <c r="K20" s="15"/>
      <c r="L20" s="14" t="s">
        <v>61</v>
      </c>
      <c r="M20" s="14" t="s">
        <v>73</v>
      </c>
      <c r="N20" s="14" t="s">
        <v>63</v>
      </c>
      <c r="O20" s="14" t="s">
        <v>64</v>
      </c>
      <c r="P20" s="16" t="n">
        <v>0.0696</v>
      </c>
      <c r="Q20" s="17" t="n">
        <v>1900000</v>
      </c>
      <c r="R20" s="18" t="n">
        <f aca="false">IF(Q20&lt;=Parametros!$B$4,Parametros!$B$3,0)</f>
        <v>249095</v>
      </c>
      <c r="S20" s="18" t="n">
        <f aca="false">Q20*Parametros!$B$5</f>
        <v>76000</v>
      </c>
      <c r="T20" s="18" t="n">
        <f aca="false">Q20*Parametros!$B$6</f>
        <v>76000</v>
      </c>
      <c r="U20" s="18" t="n">
        <f aca="false">(Q20+R20)*Parametros!$B$10</f>
        <v>179091.25</v>
      </c>
      <c r="V20" s="18" t="n">
        <f aca="false">U20*Parametros!$B$11</f>
        <v>21490.95</v>
      </c>
      <c r="W20" s="18" t="n">
        <f aca="false">(Q20+R20)*Parametros!$B$12</f>
        <v>179091.25</v>
      </c>
      <c r="X20" s="18" t="n">
        <f aca="false">Q20*Parametros!$B$13</f>
        <v>79230</v>
      </c>
      <c r="Y20" s="18" t="n">
        <f aca="false">Q20*Parametros!$B$7</f>
        <v>161500</v>
      </c>
      <c r="Z20" s="18" t="n">
        <f aca="false">Q20*Parametros!$B$8</f>
        <v>228000</v>
      </c>
      <c r="AA20" s="18" t="n">
        <f aca="false">Q20*Parametros!$B$9</f>
        <v>76000</v>
      </c>
      <c r="AB20" s="18" t="n">
        <f aca="false">Q20*P20</f>
        <v>132240</v>
      </c>
    </row>
    <row r="21" customFormat="false" ht="15" hidden="false" customHeight="false" outlineLevel="0" collapsed="false">
      <c r="A21" s="14" t="s">
        <v>126</v>
      </c>
      <c r="B21" s="14" t="s">
        <v>127</v>
      </c>
      <c r="C21" s="14" t="s">
        <v>85</v>
      </c>
      <c r="D21" s="14" t="s">
        <v>56</v>
      </c>
      <c r="E21" s="15" t="n">
        <v>26594</v>
      </c>
      <c r="F21" s="14" t="s">
        <v>57</v>
      </c>
      <c r="G21" s="14" t="s">
        <v>58</v>
      </c>
      <c r="H21" s="14" t="s">
        <v>59</v>
      </c>
      <c r="I21" s="14" t="s">
        <v>128</v>
      </c>
      <c r="J21" s="15" t="n">
        <v>45383</v>
      </c>
      <c r="K21" s="15"/>
      <c r="L21" s="14" t="s">
        <v>97</v>
      </c>
      <c r="M21" s="14" t="s">
        <v>79</v>
      </c>
      <c r="N21" s="14" t="s">
        <v>63</v>
      </c>
      <c r="O21" s="14" t="s">
        <v>64</v>
      </c>
      <c r="P21" s="16" t="n">
        <v>0.00522</v>
      </c>
      <c r="Q21" s="17" t="n">
        <v>1750905</v>
      </c>
      <c r="R21" s="18" t="n">
        <f aca="false">IF(Q21&lt;=Parametros!$B$4,Parametros!$B$3,0)</f>
        <v>249095</v>
      </c>
      <c r="S21" s="18" t="n">
        <f aca="false">Q21*Parametros!$B$5</f>
        <v>70036.2</v>
      </c>
      <c r="T21" s="18" t="n">
        <f aca="false">Q21*Parametros!$B$6</f>
        <v>70036.2</v>
      </c>
      <c r="U21" s="18" t="n">
        <f aca="false">(Q21+R21)*Parametros!$B$10</f>
        <v>166666.666666667</v>
      </c>
      <c r="V21" s="18" t="n">
        <f aca="false">U21*Parametros!$B$11</f>
        <v>20000</v>
      </c>
      <c r="W21" s="18" t="n">
        <f aca="false">(Q21+R21)*Parametros!$B$12</f>
        <v>166666.666666667</v>
      </c>
      <c r="X21" s="18" t="n">
        <f aca="false">Q21*Parametros!$B$13</f>
        <v>73012.7385</v>
      </c>
      <c r="Y21" s="18" t="n">
        <f aca="false">Q21*Parametros!$B$7</f>
        <v>148826.925</v>
      </c>
      <c r="Z21" s="18" t="n">
        <f aca="false">Q21*Parametros!$B$8</f>
        <v>210108.6</v>
      </c>
      <c r="AA21" s="18" t="n">
        <f aca="false">Q21*Parametros!$B$9</f>
        <v>70036.2</v>
      </c>
      <c r="AB21" s="18" t="n">
        <f aca="false">Q21*P21</f>
        <v>9139.7241</v>
      </c>
    </row>
    <row r="22" customFormat="false" ht="15" hidden="false" customHeight="false" outlineLevel="0" collapsed="false">
      <c r="A22" s="14" t="s">
        <v>129</v>
      </c>
      <c r="B22" s="14" t="s">
        <v>130</v>
      </c>
      <c r="C22" s="14" t="s">
        <v>131</v>
      </c>
      <c r="D22" s="14" t="s">
        <v>56</v>
      </c>
      <c r="E22" s="15" t="n">
        <v>29940</v>
      </c>
      <c r="F22" s="14" t="s">
        <v>57</v>
      </c>
      <c r="G22" s="14" t="s">
        <v>58</v>
      </c>
      <c r="H22" s="14" t="s">
        <v>59</v>
      </c>
      <c r="I22" s="14" t="s">
        <v>112</v>
      </c>
      <c r="J22" s="15" t="n">
        <v>46204</v>
      </c>
      <c r="K22" s="15"/>
      <c r="L22" s="14" t="s">
        <v>86</v>
      </c>
      <c r="M22" s="14" t="s">
        <v>62</v>
      </c>
      <c r="N22" s="14" t="s">
        <v>63</v>
      </c>
      <c r="O22" s="14" t="s">
        <v>64</v>
      </c>
      <c r="P22" s="16" t="n">
        <v>0.0696</v>
      </c>
      <c r="Q22" s="17" t="n">
        <v>1900000</v>
      </c>
      <c r="R22" s="18" t="n">
        <f aca="false">IF(Q22&lt;=Parametros!$B$4,Parametros!$B$3,0)</f>
        <v>249095</v>
      </c>
      <c r="S22" s="18" t="n">
        <f aca="false">Q22*Parametros!$B$5</f>
        <v>76000</v>
      </c>
      <c r="T22" s="18" t="n">
        <f aca="false">Q22*Parametros!$B$6</f>
        <v>76000</v>
      </c>
      <c r="U22" s="18" t="n">
        <f aca="false">(Q22+R22)*Parametros!$B$10</f>
        <v>179091.25</v>
      </c>
      <c r="V22" s="18" t="n">
        <f aca="false">U22*Parametros!$B$11</f>
        <v>21490.95</v>
      </c>
      <c r="W22" s="18" t="n">
        <f aca="false">(Q22+R22)*Parametros!$B$12</f>
        <v>179091.25</v>
      </c>
      <c r="X22" s="18" t="n">
        <f aca="false">Q22*Parametros!$B$13</f>
        <v>79230</v>
      </c>
      <c r="Y22" s="18" t="n">
        <f aca="false">Q22*Parametros!$B$7</f>
        <v>161500</v>
      </c>
      <c r="Z22" s="18" t="n">
        <f aca="false">Q22*Parametros!$B$8</f>
        <v>228000</v>
      </c>
      <c r="AA22" s="18" t="n">
        <f aca="false">Q22*Parametros!$B$9</f>
        <v>76000</v>
      </c>
      <c r="AB22" s="18" t="n">
        <f aca="false">Q22*P22</f>
        <v>132240</v>
      </c>
    </row>
    <row r="23" customFormat="false" ht="15" hidden="false" customHeight="false" outlineLevel="0" collapsed="false">
      <c r="A23" s="14" t="s">
        <v>132</v>
      </c>
      <c r="B23" s="14" t="s">
        <v>133</v>
      </c>
      <c r="C23" s="14" t="s">
        <v>134</v>
      </c>
      <c r="D23" s="14" t="s">
        <v>77</v>
      </c>
      <c r="E23" s="15" t="n">
        <v>34424</v>
      </c>
      <c r="F23" s="14" t="s">
        <v>57</v>
      </c>
      <c r="G23" s="14" t="s">
        <v>58</v>
      </c>
      <c r="H23" s="14" t="s">
        <v>59</v>
      </c>
      <c r="I23" s="14" t="s">
        <v>112</v>
      </c>
      <c r="J23" s="15" t="n">
        <v>46054</v>
      </c>
      <c r="K23" s="15"/>
      <c r="L23" s="14" t="s">
        <v>78</v>
      </c>
      <c r="M23" s="14" t="s">
        <v>62</v>
      </c>
      <c r="N23" s="14" t="s">
        <v>63</v>
      </c>
      <c r="O23" s="14" t="s">
        <v>64</v>
      </c>
      <c r="P23" s="16" t="n">
        <v>0.0696</v>
      </c>
      <c r="Q23" s="17" t="n">
        <v>1900000</v>
      </c>
      <c r="R23" s="18" t="n">
        <f aca="false">IF(Q23&lt;=Parametros!$B$4,Parametros!$B$3,0)</f>
        <v>249095</v>
      </c>
      <c r="S23" s="18" t="n">
        <f aca="false">Q23*Parametros!$B$5</f>
        <v>76000</v>
      </c>
      <c r="T23" s="18" t="n">
        <f aca="false">Q23*Parametros!$B$6</f>
        <v>76000</v>
      </c>
      <c r="U23" s="18" t="n">
        <f aca="false">(Q23+R23)*Parametros!$B$10</f>
        <v>179091.25</v>
      </c>
      <c r="V23" s="18" t="n">
        <f aca="false">U23*Parametros!$B$11</f>
        <v>21490.95</v>
      </c>
      <c r="W23" s="18" t="n">
        <f aca="false">(Q23+R23)*Parametros!$B$12</f>
        <v>179091.25</v>
      </c>
      <c r="X23" s="18" t="n">
        <f aca="false">Q23*Parametros!$B$13</f>
        <v>79230</v>
      </c>
      <c r="Y23" s="18" t="n">
        <f aca="false">Q23*Parametros!$B$7</f>
        <v>161500</v>
      </c>
      <c r="Z23" s="18" t="n">
        <f aca="false">Q23*Parametros!$B$8</f>
        <v>228000</v>
      </c>
      <c r="AA23" s="18" t="n">
        <f aca="false">Q23*Parametros!$B$9</f>
        <v>76000</v>
      </c>
      <c r="AB23" s="18" t="n">
        <f aca="false">Q23*P23</f>
        <v>132240</v>
      </c>
    </row>
    <row r="24" customFormat="false" ht="15" hidden="false" customHeight="false" outlineLevel="0" collapsed="false">
      <c r="A24" s="14" t="s">
        <v>135</v>
      </c>
      <c r="B24" s="14" t="s">
        <v>91</v>
      </c>
      <c r="C24" s="14" t="s">
        <v>136</v>
      </c>
      <c r="D24" s="14" t="s">
        <v>77</v>
      </c>
      <c r="E24" s="15" t="n">
        <v>33009</v>
      </c>
      <c r="F24" s="14" t="s">
        <v>57</v>
      </c>
      <c r="G24" s="14" t="s">
        <v>58</v>
      </c>
      <c r="H24" s="14" t="s">
        <v>59</v>
      </c>
      <c r="I24" s="14" t="s">
        <v>93</v>
      </c>
      <c r="J24" s="15" t="n">
        <v>43466</v>
      </c>
      <c r="K24" s="15"/>
      <c r="L24" s="14" t="s">
        <v>78</v>
      </c>
      <c r="M24" s="14" t="s">
        <v>62</v>
      </c>
      <c r="N24" s="14" t="s">
        <v>63</v>
      </c>
      <c r="O24" s="14" t="s">
        <v>64</v>
      </c>
      <c r="P24" s="16" t="n">
        <v>0.00522</v>
      </c>
      <c r="Q24" s="17" t="n">
        <v>2000000</v>
      </c>
      <c r="R24" s="18" t="n">
        <f aca="false">IF(Q24&lt;=Parametros!$B$4,Parametros!$B$3,0)</f>
        <v>249095</v>
      </c>
      <c r="S24" s="18" t="n">
        <f aca="false">Q24*Parametros!$B$5</f>
        <v>80000</v>
      </c>
      <c r="T24" s="18" t="n">
        <f aca="false">Q24*Parametros!$B$6</f>
        <v>80000</v>
      </c>
      <c r="U24" s="18" t="n">
        <f aca="false">(Q24+R24)*Parametros!$B$10</f>
        <v>187424.583333333</v>
      </c>
      <c r="V24" s="18" t="n">
        <f aca="false">U24*Parametros!$B$11</f>
        <v>22490.95</v>
      </c>
      <c r="W24" s="18" t="n">
        <f aca="false">(Q24+R24)*Parametros!$B$12</f>
        <v>187424.583333333</v>
      </c>
      <c r="X24" s="18" t="n">
        <f aca="false">Q24*Parametros!$B$13</f>
        <v>83400</v>
      </c>
      <c r="Y24" s="18" t="n">
        <f aca="false">Q24*Parametros!$B$7</f>
        <v>170000</v>
      </c>
      <c r="Z24" s="18" t="n">
        <f aca="false">Q24*Parametros!$B$8</f>
        <v>240000</v>
      </c>
      <c r="AA24" s="18" t="n">
        <f aca="false">Q24*Parametros!$B$9</f>
        <v>80000</v>
      </c>
      <c r="AB24" s="18" t="n">
        <f aca="false">Q24*P24</f>
        <v>10440</v>
      </c>
    </row>
    <row r="25" customFormat="false" ht="15" hidden="false" customHeight="false" outlineLevel="0" collapsed="false">
      <c r="A25" s="14" t="s">
        <v>137</v>
      </c>
      <c r="B25" s="14" t="s">
        <v>138</v>
      </c>
      <c r="C25" s="14" t="s">
        <v>122</v>
      </c>
      <c r="D25" s="14" t="s">
        <v>77</v>
      </c>
      <c r="E25" s="15" t="n">
        <v>31850</v>
      </c>
      <c r="F25" s="14" t="s">
        <v>57</v>
      </c>
      <c r="G25" s="14" t="s">
        <v>58</v>
      </c>
      <c r="H25" s="14" t="s">
        <v>59</v>
      </c>
      <c r="I25" s="14" t="s">
        <v>112</v>
      </c>
      <c r="J25" s="15" t="n">
        <v>43770</v>
      </c>
      <c r="K25" s="15"/>
      <c r="L25" s="14" t="s">
        <v>61</v>
      </c>
      <c r="M25" s="14" t="s">
        <v>73</v>
      </c>
      <c r="N25" s="14" t="s">
        <v>63</v>
      </c>
      <c r="O25" s="14" t="s">
        <v>64</v>
      </c>
      <c r="P25" s="16" t="n">
        <v>0.0696</v>
      </c>
      <c r="Q25" s="17" t="n">
        <v>1900000</v>
      </c>
      <c r="R25" s="18" t="n">
        <f aca="false">IF(Q25&lt;=Parametros!$B$4,Parametros!$B$3,0)</f>
        <v>249095</v>
      </c>
      <c r="S25" s="18" t="n">
        <f aca="false">Q25*Parametros!$B$5</f>
        <v>76000</v>
      </c>
      <c r="T25" s="18" t="n">
        <f aca="false">Q25*Parametros!$B$6</f>
        <v>76000</v>
      </c>
      <c r="U25" s="18" t="n">
        <f aca="false">(Q25+R25)*Parametros!$B$10</f>
        <v>179091.25</v>
      </c>
      <c r="V25" s="18" t="n">
        <f aca="false">U25*Parametros!$B$11</f>
        <v>21490.95</v>
      </c>
      <c r="W25" s="18" t="n">
        <f aca="false">(Q25+R25)*Parametros!$B$12</f>
        <v>179091.25</v>
      </c>
      <c r="X25" s="18" t="n">
        <f aca="false">Q25*Parametros!$B$13</f>
        <v>79230</v>
      </c>
      <c r="Y25" s="18" t="n">
        <f aca="false">Q25*Parametros!$B$7</f>
        <v>161500</v>
      </c>
      <c r="Z25" s="18" t="n">
        <f aca="false">Q25*Parametros!$B$8</f>
        <v>228000</v>
      </c>
      <c r="AA25" s="18" t="n">
        <f aca="false">Q25*Parametros!$B$9</f>
        <v>76000</v>
      </c>
      <c r="AB25" s="18" t="n">
        <f aca="false">Q25*P25</f>
        <v>132240</v>
      </c>
    </row>
    <row r="26" customFormat="false" ht="15" hidden="false" customHeight="false" outlineLevel="0" collapsed="false">
      <c r="A26" s="14" t="s">
        <v>139</v>
      </c>
      <c r="B26" s="14" t="s">
        <v>133</v>
      </c>
      <c r="C26" s="14" t="s">
        <v>106</v>
      </c>
      <c r="D26" s="14" t="s">
        <v>56</v>
      </c>
      <c r="E26" s="15" t="n">
        <v>25214</v>
      </c>
      <c r="F26" s="14" t="s">
        <v>57</v>
      </c>
      <c r="G26" s="14" t="s">
        <v>58</v>
      </c>
      <c r="H26" s="14" t="s">
        <v>59</v>
      </c>
      <c r="I26" s="14" t="s">
        <v>140</v>
      </c>
      <c r="J26" s="15" t="n">
        <v>43831</v>
      </c>
      <c r="K26" s="15"/>
      <c r="L26" s="14" t="s">
        <v>78</v>
      </c>
      <c r="M26" s="14" t="s">
        <v>79</v>
      </c>
      <c r="N26" s="14" t="s">
        <v>63</v>
      </c>
      <c r="O26" s="14" t="s">
        <v>64</v>
      </c>
      <c r="P26" s="16" t="n">
        <v>0.0696</v>
      </c>
      <c r="Q26" s="17" t="n">
        <v>2300000</v>
      </c>
      <c r="R26" s="18" t="n">
        <f aca="false">IF(Q26&lt;=Parametros!$B$4,Parametros!$B$3,0)</f>
        <v>249095</v>
      </c>
      <c r="S26" s="18" t="n">
        <f aca="false">Q26*Parametros!$B$5</f>
        <v>92000</v>
      </c>
      <c r="T26" s="18" t="n">
        <f aca="false">Q26*Parametros!$B$6</f>
        <v>92000</v>
      </c>
      <c r="U26" s="18" t="n">
        <f aca="false">(Q26+R26)*Parametros!$B$10</f>
        <v>212424.583333333</v>
      </c>
      <c r="V26" s="18" t="n">
        <f aca="false">U26*Parametros!$B$11</f>
        <v>25490.95</v>
      </c>
      <c r="W26" s="18" t="n">
        <f aca="false">(Q26+R26)*Parametros!$B$12</f>
        <v>212424.583333333</v>
      </c>
      <c r="X26" s="18" t="n">
        <f aca="false">Q26*Parametros!$B$13</f>
        <v>95910</v>
      </c>
      <c r="Y26" s="18" t="n">
        <f aca="false">Q26*Parametros!$B$7</f>
        <v>195500</v>
      </c>
      <c r="Z26" s="18" t="n">
        <f aca="false">Q26*Parametros!$B$8</f>
        <v>276000</v>
      </c>
      <c r="AA26" s="18" t="n">
        <f aca="false">Q26*Parametros!$B$9</f>
        <v>92000</v>
      </c>
      <c r="AB26" s="18" t="n">
        <f aca="false">Q26*P26</f>
        <v>160080</v>
      </c>
    </row>
    <row r="27" customFormat="false" ht="15" hidden="false" customHeight="false" outlineLevel="0" collapsed="false">
      <c r="A27" s="14" t="s">
        <v>141</v>
      </c>
      <c r="B27" s="14" t="s">
        <v>130</v>
      </c>
      <c r="C27" s="14" t="s">
        <v>142</v>
      </c>
      <c r="D27" s="14" t="s">
        <v>56</v>
      </c>
      <c r="E27" s="15" t="n">
        <v>34308</v>
      </c>
      <c r="F27" s="14" t="s">
        <v>57</v>
      </c>
      <c r="G27" s="14" t="s">
        <v>58</v>
      </c>
      <c r="H27" s="14" t="s">
        <v>59</v>
      </c>
      <c r="I27" s="14" t="s">
        <v>60</v>
      </c>
      <c r="J27" s="15" t="n">
        <v>45709</v>
      </c>
      <c r="K27" s="15"/>
      <c r="L27" s="14" t="s">
        <v>86</v>
      </c>
      <c r="M27" s="14" t="s">
        <v>73</v>
      </c>
      <c r="N27" s="14" t="s">
        <v>63</v>
      </c>
      <c r="O27" s="14" t="s">
        <v>83</v>
      </c>
      <c r="P27" s="16" t="n">
        <v>0.0435</v>
      </c>
      <c r="Q27" s="17" t="n">
        <v>1750905</v>
      </c>
      <c r="R27" s="18" t="n">
        <f aca="false">IF(Q27&lt;=Parametros!$B$4,Parametros!$B$3,0)</f>
        <v>249095</v>
      </c>
      <c r="S27" s="18" t="n">
        <f aca="false">Q27*Parametros!$B$5</f>
        <v>70036.2</v>
      </c>
      <c r="T27" s="18" t="n">
        <f aca="false">Q27*Parametros!$B$6</f>
        <v>70036.2</v>
      </c>
      <c r="U27" s="18" t="n">
        <f aca="false">(Q27+R27)*Parametros!$B$10</f>
        <v>166666.666666667</v>
      </c>
      <c r="V27" s="18" t="n">
        <f aca="false">U27*Parametros!$B$11</f>
        <v>20000</v>
      </c>
      <c r="W27" s="18" t="n">
        <f aca="false">(Q27+R27)*Parametros!$B$12</f>
        <v>166666.666666667</v>
      </c>
      <c r="X27" s="18" t="n">
        <f aca="false">Q27*Parametros!$B$13</f>
        <v>73012.7385</v>
      </c>
      <c r="Y27" s="18" t="n">
        <f aca="false">Q27*Parametros!$B$7</f>
        <v>148826.925</v>
      </c>
      <c r="Z27" s="18" t="n">
        <f aca="false">Q27*Parametros!$B$8</f>
        <v>210108.6</v>
      </c>
      <c r="AA27" s="18" t="n">
        <f aca="false">Q27*Parametros!$B$9</f>
        <v>70036.2</v>
      </c>
      <c r="AB27" s="18" t="n">
        <f aca="false">Q27*P27</f>
        <v>76164.3675</v>
      </c>
    </row>
    <row r="28" customFormat="false" ht="15" hidden="false" customHeight="false" outlineLevel="0" collapsed="false">
      <c r="A28" s="14" t="s">
        <v>143</v>
      </c>
      <c r="B28" s="14" t="s">
        <v>130</v>
      </c>
      <c r="C28" s="14" t="s">
        <v>103</v>
      </c>
      <c r="D28" s="14" t="s">
        <v>56</v>
      </c>
      <c r="E28" s="15" t="n">
        <v>30554</v>
      </c>
      <c r="F28" s="14" t="s">
        <v>57</v>
      </c>
      <c r="G28" s="14" t="s">
        <v>58</v>
      </c>
      <c r="H28" s="14" t="s">
        <v>59</v>
      </c>
      <c r="I28" s="14" t="s">
        <v>112</v>
      </c>
      <c r="J28" s="15" t="n">
        <v>43862</v>
      </c>
      <c r="K28" s="15"/>
      <c r="L28" s="14" t="s">
        <v>61</v>
      </c>
      <c r="M28" s="14" t="s">
        <v>62</v>
      </c>
      <c r="N28" s="14" t="s">
        <v>63</v>
      </c>
      <c r="O28" s="14" t="s">
        <v>64</v>
      </c>
      <c r="P28" s="16" t="n">
        <v>0.0696</v>
      </c>
      <c r="Q28" s="17" t="n">
        <v>1900000</v>
      </c>
      <c r="R28" s="18" t="n">
        <f aca="false">IF(Q28&lt;=Parametros!$B$4,Parametros!$B$3,0)</f>
        <v>249095</v>
      </c>
      <c r="S28" s="18" t="n">
        <f aca="false">Q28*Parametros!$B$5</f>
        <v>76000</v>
      </c>
      <c r="T28" s="18" t="n">
        <f aca="false">Q28*Parametros!$B$6</f>
        <v>76000</v>
      </c>
      <c r="U28" s="18" t="n">
        <f aca="false">(Q28+R28)*Parametros!$B$10</f>
        <v>179091.25</v>
      </c>
      <c r="V28" s="18" t="n">
        <f aca="false">U28*Parametros!$B$11</f>
        <v>21490.95</v>
      </c>
      <c r="W28" s="18" t="n">
        <f aca="false">(Q28+R28)*Parametros!$B$12</f>
        <v>179091.25</v>
      </c>
      <c r="X28" s="18" t="n">
        <f aca="false">Q28*Parametros!$B$13</f>
        <v>79230</v>
      </c>
      <c r="Y28" s="18" t="n">
        <f aca="false">Q28*Parametros!$B$7</f>
        <v>161500</v>
      </c>
      <c r="Z28" s="18" t="n">
        <f aca="false">Q28*Parametros!$B$8</f>
        <v>228000</v>
      </c>
      <c r="AA28" s="18" t="n">
        <f aca="false">Q28*Parametros!$B$9</f>
        <v>76000</v>
      </c>
      <c r="AB28" s="18" t="n">
        <f aca="false">Q28*P28</f>
        <v>132240</v>
      </c>
    </row>
    <row r="29" customFormat="false" ht="15" hidden="false" customHeight="false" outlineLevel="0" collapsed="false">
      <c r="A29" s="14" t="s">
        <v>144</v>
      </c>
      <c r="B29" s="14" t="s">
        <v>145</v>
      </c>
      <c r="C29" s="14" t="s">
        <v>96</v>
      </c>
      <c r="D29" s="14" t="s">
        <v>56</v>
      </c>
      <c r="E29" s="15" t="n">
        <v>28698</v>
      </c>
      <c r="F29" s="14" t="s">
        <v>57</v>
      </c>
      <c r="G29" s="14" t="s">
        <v>58</v>
      </c>
      <c r="H29" s="14" t="s">
        <v>59</v>
      </c>
      <c r="I29" s="14" t="s">
        <v>112</v>
      </c>
      <c r="J29" s="15" t="n">
        <v>45413</v>
      </c>
      <c r="K29" s="15"/>
      <c r="L29" s="14" t="s">
        <v>61</v>
      </c>
      <c r="M29" s="14" t="s">
        <v>62</v>
      </c>
      <c r="N29" s="14" t="s">
        <v>63</v>
      </c>
      <c r="O29" s="14" t="s">
        <v>64</v>
      </c>
      <c r="P29" s="16" t="n">
        <v>0.0696</v>
      </c>
      <c r="Q29" s="17" t="n">
        <v>1900000</v>
      </c>
      <c r="R29" s="18" t="n">
        <f aca="false">IF(Q29&lt;=Parametros!$B$4,Parametros!$B$3,0)</f>
        <v>249095</v>
      </c>
      <c r="S29" s="18" t="n">
        <f aca="false">Q29*Parametros!$B$5</f>
        <v>76000</v>
      </c>
      <c r="T29" s="18" t="n">
        <f aca="false">Q29*Parametros!$B$6</f>
        <v>76000</v>
      </c>
      <c r="U29" s="18" t="n">
        <f aca="false">(Q29+R29)*Parametros!$B$10</f>
        <v>179091.25</v>
      </c>
      <c r="V29" s="18" t="n">
        <f aca="false">U29*Parametros!$B$11</f>
        <v>21490.95</v>
      </c>
      <c r="W29" s="18" t="n">
        <f aca="false">(Q29+R29)*Parametros!$B$12</f>
        <v>179091.25</v>
      </c>
      <c r="X29" s="18" t="n">
        <f aca="false">Q29*Parametros!$B$13</f>
        <v>79230</v>
      </c>
      <c r="Y29" s="18" t="n">
        <f aca="false">Q29*Parametros!$B$7</f>
        <v>161500</v>
      </c>
      <c r="Z29" s="18" t="n">
        <f aca="false">Q29*Parametros!$B$8</f>
        <v>228000</v>
      </c>
      <c r="AA29" s="18" t="n">
        <f aca="false">Q29*Parametros!$B$9</f>
        <v>76000</v>
      </c>
      <c r="AB29" s="18" t="n">
        <f aca="false">Q29*P29</f>
        <v>132240</v>
      </c>
    </row>
    <row r="30" customFormat="false" ht="15" hidden="false" customHeight="false" outlineLevel="0" collapsed="false">
      <c r="A30" s="14" t="s">
        <v>146</v>
      </c>
      <c r="B30" s="14" t="s">
        <v>88</v>
      </c>
      <c r="C30" s="14" t="s">
        <v>131</v>
      </c>
      <c r="D30" s="14" t="s">
        <v>56</v>
      </c>
      <c r="E30" s="15" t="n">
        <v>34321</v>
      </c>
      <c r="F30" s="14" t="s">
        <v>57</v>
      </c>
      <c r="G30" s="14" t="s">
        <v>58</v>
      </c>
      <c r="H30" s="14" t="s">
        <v>59</v>
      </c>
      <c r="I30" s="14" t="s">
        <v>147</v>
      </c>
      <c r="J30" s="15" t="n">
        <v>44930</v>
      </c>
      <c r="K30" s="15"/>
      <c r="L30" s="14" t="s">
        <v>148</v>
      </c>
      <c r="M30" s="14" t="s">
        <v>73</v>
      </c>
      <c r="N30" s="14" t="s">
        <v>63</v>
      </c>
      <c r="O30" s="14" t="s">
        <v>64</v>
      </c>
      <c r="P30" s="16" t="n">
        <v>0.00522</v>
      </c>
      <c r="Q30" s="17" t="n">
        <v>1750905</v>
      </c>
      <c r="R30" s="18" t="n">
        <f aca="false">IF(Q30&lt;=Parametros!$B$4,Parametros!$B$3,0)</f>
        <v>249095</v>
      </c>
      <c r="S30" s="18" t="n">
        <f aca="false">Q30*Parametros!$B$5</f>
        <v>70036.2</v>
      </c>
      <c r="T30" s="18" t="n">
        <f aca="false">Q30*Parametros!$B$6</f>
        <v>70036.2</v>
      </c>
      <c r="U30" s="18" t="n">
        <f aca="false">(Q30+R30)*Parametros!$B$10</f>
        <v>166666.666666667</v>
      </c>
      <c r="V30" s="18" t="n">
        <f aca="false">U30*Parametros!$B$11</f>
        <v>20000</v>
      </c>
      <c r="W30" s="18" t="n">
        <f aca="false">(Q30+R30)*Parametros!$B$12</f>
        <v>166666.666666667</v>
      </c>
      <c r="X30" s="18" t="n">
        <f aca="false">Q30*Parametros!$B$13</f>
        <v>73012.7385</v>
      </c>
      <c r="Y30" s="18" t="n">
        <f aca="false">Q30*Parametros!$B$7</f>
        <v>148826.925</v>
      </c>
      <c r="Z30" s="18" t="n">
        <f aca="false">Q30*Parametros!$B$8</f>
        <v>210108.6</v>
      </c>
      <c r="AA30" s="18" t="n">
        <f aca="false">Q30*Parametros!$B$9</f>
        <v>70036.2</v>
      </c>
      <c r="AB30" s="18" t="n">
        <f aca="false">Q30*P30</f>
        <v>9139.7241</v>
      </c>
    </row>
    <row r="31" customFormat="false" ht="15" hidden="false" customHeight="false" outlineLevel="0" collapsed="false">
      <c r="A31" s="14" t="s">
        <v>149</v>
      </c>
      <c r="B31" s="14" t="s">
        <v>150</v>
      </c>
      <c r="C31" s="14" t="s">
        <v>151</v>
      </c>
      <c r="D31" s="14" t="s">
        <v>56</v>
      </c>
      <c r="E31" s="15" t="n">
        <v>28273</v>
      </c>
      <c r="F31" s="14" t="s">
        <v>57</v>
      </c>
      <c r="G31" s="14" t="s">
        <v>58</v>
      </c>
      <c r="H31" s="14" t="s">
        <v>59</v>
      </c>
      <c r="I31" s="14" t="s">
        <v>152</v>
      </c>
      <c r="J31" s="15" t="n">
        <v>45474</v>
      </c>
      <c r="K31" s="15"/>
      <c r="L31" s="14" t="s">
        <v>97</v>
      </c>
      <c r="M31" s="14" t="s">
        <v>62</v>
      </c>
      <c r="N31" s="14" t="s">
        <v>63</v>
      </c>
      <c r="O31" s="14" t="s">
        <v>64</v>
      </c>
      <c r="P31" s="16" t="n">
        <v>0.00522</v>
      </c>
      <c r="Q31" s="17" t="n">
        <v>1750905</v>
      </c>
      <c r="R31" s="18" t="n">
        <f aca="false">IF(Q31&lt;=Parametros!$B$4,Parametros!$B$3,0)</f>
        <v>249095</v>
      </c>
      <c r="S31" s="18" t="n">
        <f aca="false">Q31*Parametros!$B$5</f>
        <v>70036.2</v>
      </c>
      <c r="T31" s="18" t="n">
        <f aca="false">Q31*Parametros!$B$6</f>
        <v>70036.2</v>
      </c>
      <c r="U31" s="18" t="n">
        <f aca="false">(Q31+R31)*Parametros!$B$10</f>
        <v>166666.666666667</v>
      </c>
      <c r="V31" s="18" t="n">
        <f aca="false">U31*Parametros!$B$11</f>
        <v>20000</v>
      </c>
      <c r="W31" s="18" t="n">
        <f aca="false">(Q31+R31)*Parametros!$B$12</f>
        <v>166666.666666667</v>
      </c>
      <c r="X31" s="18" t="n">
        <f aca="false">Q31*Parametros!$B$13</f>
        <v>73012.7385</v>
      </c>
      <c r="Y31" s="18" t="n">
        <f aca="false">Q31*Parametros!$B$7</f>
        <v>148826.925</v>
      </c>
      <c r="Z31" s="18" t="n">
        <f aca="false">Q31*Parametros!$B$8</f>
        <v>210108.6</v>
      </c>
      <c r="AA31" s="18" t="n">
        <f aca="false">Q31*Parametros!$B$9</f>
        <v>70036.2</v>
      </c>
      <c r="AB31" s="18" t="n">
        <f aca="false">Q31*P31</f>
        <v>9139.7241</v>
      </c>
    </row>
    <row r="32" customFormat="false" ht="15" hidden="false" customHeight="false" outlineLevel="0" collapsed="false">
      <c r="A32" s="14" t="s">
        <v>153</v>
      </c>
      <c r="B32" s="14" t="s">
        <v>138</v>
      </c>
      <c r="C32" s="14" t="s">
        <v>151</v>
      </c>
      <c r="D32" s="14" t="s">
        <v>56</v>
      </c>
      <c r="E32" s="15" t="n">
        <v>30600</v>
      </c>
      <c r="F32" s="14" t="s">
        <v>57</v>
      </c>
      <c r="G32" s="14" t="s">
        <v>58</v>
      </c>
      <c r="H32" s="14" t="s">
        <v>59</v>
      </c>
      <c r="I32" s="14" t="s">
        <v>112</v>
      </c>
      <c r="J32" s="15" t="n">
        <v>45800</v>
      </c>
      <c r="K32" s="15"/>
      <c r="L32" s="14" t="s">
        <v>72</v>
      </c>
      <c r="M32" s="14" t="s">
        <v>79</v>
      </c>
      <c r="N32" s="14" t="s">
        <v>63</v>
      </c>
      <c r="O32" s="14" t="s">
        <v>64</v>
      </c>
      <c r="P32" s="16" t="n">
        <v>0.0696</v>
      </c>
      <c r="Q32" s="17" t="n">
        <v>1900000</v>
      </c>
      <c r="R32" s="18" t="n">
        <f aca="false">IF(Q32&lt;=Parametros!$B$4,Parametros!$B$3,0)</f>
        <v>249095</v>
      </c>
      <c r="S32" s="18" t="n">
        <f aca="false">Q32*Parametros!$B$5</f>
        <v>76000</v>
      </c>
      <c r="T32" s="18" t="n">
        <f aca="false">Q32*Parametros!$B$6</f>
        <v>76000</v>
      </c>
      <c r="U32" s="18" t="n">
        <f aca="false">(Q32+R32)*Parametros!$B$10</f>
        <v>179091.25</v>
      </c>
      <c r="V32" s="18" t="n">
        <f aca="false">U32*Parametros!$B$11</f>
        <v>21490.95</v>
      </c>
      <c r="W32" s="18" t="n">
        <f aca="false">(Q32+R32)*Parametros!$B$12</f>
        <v>179091.25</v>
      </c>
      <c r="X32" s="18" t="n">
        <f aca="false">Q32*Parametros!$B$13</f>
        <v>79230</v>
      </c>
      <c r="Y32" s="18" t="n">
        <f aca="false">Q32*Parametros!$B$7</f>
        <v>161500</v>
      </c>
      <c r="Z32" s="18" t="n">
        <f aca="false">Q32*Parametros!$B$8</f>
        <v>228000</v>
      </c>
      <c r="AA32" s="18" t="n">
        <f aca="false">Q32*Parametros!$B$9</f>
        <v>76000</v>
      </c>
      <c r="AB32" s="18" t="n">
        <f aca="false">Q32*P32</f>
        <v>132240</v>
      </c>
    </row>
    <row r="33" customFormat="false" ht="15" hidden="false" customHeight="false" outlineLevel="0" collapsed="false">
      <c r="A33" s="14" t="s">
        <v>154</v>
      </c>
      <c r="B33" s="14" t="s">
        <v>155</v>
      </c>
      <c r="C33" s="14" t="s">
        <v>103</v>
      </c>
      <c r="D33" s="14" t="s">
        <v>56</v>
      </c>
      <c r="E33" s="15" t="n">
        <v>29969</v>
      </c>
      <c r="F33" s="14" t="s">
        <v>57</v>
      </c>
      <c r="G33" s="14" t="s">
        <v>58</v>
      </c>
      <c r="H33" s="14" t="s">
        <v>59</v>
      </c>
      <c r="I33" s="14" t="s">
        <v>93</v>
      </c>
      <c r="J33" s="15" t="n">
        <v>46143</v>
      </c>
      <c r="K33" s="15"/>
      <c r="L33" s="14" t="s">
        <v>97</v>
      </c>
      <c r="M33" s="14" t="s">
        <v>73</v>
      </c>
      <c r="N33" s="14" t="s">
        <v>63</v>
      </c>
      <c r="O33" s="14" t="s">
        <v>64</v>
      </c>
      <c r="P33" s="16" t="n">
        <v>0.00522</v>
      </c>
      <c r="Q33" s="17" t="n">
        <v>2000000</v>
      </c>
      <c r="R33" s="18" t="n">
        <f aca="false">IF(Q33&lt;=Parametros!$B$4,Parametros!$B$3,0)</f>
        <v>249095</v>
      </c>
      <c r="S33" s="18" t="n">
        <f aca="false">Q33*Parametros!$B$5</f>
        <v>80000</v>
      </c>
      <c r="T33" s="18" t="n">
        <f aca="false">Q33*Parametros!$B$6</f>
        <v>80000</v>
      </c>
      <c r="U33" s="18" t="n">
        <f aca="false">(Q33+R33)*Parametros!$B$10</f>
        <v>187424.583333333</v>
      </c>
      <c r="V33" s="18" t="n">
        <f aca="false">U33*Parametros!$B$11</f>
        <v>22490.95</v>
      </c>
      <c r="W33" s="18" t="n">
        <f aca="false">(Q33+R33)*Parametros!$B$12</f>
        <v>187424.583333333</v>
      </c>
      <c r="X33" s="18" t="n">
        <f aca="false">Q33*Parametros!$B$13</f>
        <v>83400</v>
      </c>
      <c r="Y33" s="18" t="n">
        <f aca="false">Q33*Parametros!$B$7</f>
        <v>170000</v>
      </c>
      <c r="Z33" s="18" t="n">
        <f aca="false">Q33*Parametros!$B$8</f>
        <v>240000</v>
      </c>
      <c r="AA33" s="18" t="n">
        <f aca="false">Q33*Parametros!$B$9</f>
        <v>80000</v>
      </c>
      <c r="AB33" s="18" t="n">
        <f aca="false">Q33*P33</f>
        <v>10440</v>
      </c>
    </row>
    <row r="34" customFormat="false" ht="15" hidden="false" customHeight="false" outlineLevel="0" collapsed="false">
      <c r="A34" s="14" t="s">
        <v>156</v>
      </c>
      <c r="B34" s="14" t="s">
        <v>66</v>
      </c>
      <c r="C34" s="14" t="s">
        <v>106</v>
      </c>
      <c r="D34" s="14" t="s">
        <v>56</v>
      </c>
      <c r="E34" s="15" t="n">
        <v>27106</v>
      </c>
      <c r="F34" s="14" t="s">
        <v>57</v>
      </c>
      <c r="G34" s="14" t="s">
        <v>58</v>
      </c>
      <c r="H34" s="14" t="s">
        <v>59</v>
      </c>
      <c r="I34" s="14" t="s">
        <v>128</v>
      </c>
      <c r="J34" s="15" t="n">
        <v>46113</v>
      </c>
      <c r="K34" s="15"/>
      <c r="L34" s="14" t="s">
        <v>86</v>
      </c>
      <c r="M34" s="14" t="s">
        <v>62</v>
      </c>
      <c r="N34" s="14" t="s">
        <v>63</v>
      </c>
      <c r="O34" s="14" t="s">
        <v>64</v>
      </c>
      <c r="P34" s="16" t="n">
        <v>0.00522</v>
      </c>
      <c r="Q34" s="17" t="n">
        <v>1750905</v>
      </c>
      <c r="R34" s="18" t="n">
        <f aca="false">IF(Q34&lt;=Parametros!$B$4,Parametros!$B$3,0)</f>
        <v>249095</v>
      </c>
      <c r="S34" s="18" t="n">
        <f aca="false">Q34*Parametros!$B$5</f>
        <v>70036.2</v>
      </c>
      <c r="T34" s="18" t="n">
        <f aca="false">Q34*Parametros!$B$6</f>
        <v>70036.2</v>
      </c>
      <c r="U34" s="18" t="n">
        <f aca="false">(Q34+R34)*Parametros!$B$10</f>
        <v>166666.666666667</v>
      </c>
      <c r="V34" s="18" t="n">
        <f aca="false">U34*Parametros!$B$11</f>
        <v>20000</v>
      </c>
      <c r="W34" s="18" t="n">
        <f aca="false">(Q34+R34)*Parametros!$B$12</f>
        <v>166666.666666667</v>
      </c>
      <c r="X34" s="18" t="n">
        <f aca="false">Q34*Parametros!$B$13</f>
        <v>73012.7385</v>
      </c>
      <c r="Y34" s="18" t="n">
        <f aca="false">Q34*Parametros!$B$7</f>
        <v>148826.925</v>
      </c>
      <c r="Z34" s="18" t="n">
        <f aca="false">Q34*Parametros!$B$8</f>
        <v>210108.6</v>
      </c>
      <c r="AA34" s="18" t="n">
        <f aca="false">Q34*Parametros!$B$9</f>
        <v>70036.2</v>
      </c>
      <c r="AB34" s="18" t="n">
        <f aca="false">Q34*P34</f>
        <v>9139.7241</v>
      </c>
    </row>
    <row r="35" customFormat="false" ht="15" hidden="false" customHeight="false" outlineLevel="0" collapsed="false">
      <c r="A35" s="14" t="s">
        <v>157</v>
      </c>
      <c r="B35" s="14" t="s">
        <v>145</v>
      </c>
      <c r="C35" s="14" t="s">
        <v>103</v>
      </c>
      <c r="D35" s="14" t="s">
        <v>56</v>
      </c>
      <c r="E35" s="15" t="n">
        <v>25994</v>
      </c>
      <c r="F35" s="14" t="s">
        <v>57</v>
      </c>
      <c r="G35" s="14" t="s">
        <v>58</v>
      </c>
      <c r="H35" s="14" t="s">
        <v>59</v>
      </c>
      <c r="I35" s="14" t="s">
        <v>68</v>
      </c>
      <c r="J35" s="15" t="n">
        <v>43831</v>
      </c>
      <c r="K35" s="15"/>
      <c r="L35" s="14" t="s">
        <v>78</v>
      </c>
      <c r="M35" s="14" t="s">
        <v>62</v>
      </c>
      <c r="N35" s="14" t="s">
        <v>63</v>
      </c>
      <c r="O35" s="14" t="s">
        <v>83</v>
      </c>
      <c r="P35" s="16" t="n">
        <v>0.00522</v>
      </c>
      <c r="Q35" s="17" t="n">
        <v>1750905</v>
      </c>
      <c r="R35" s="18" t="n">
        <f aca="false">IF(Q35&lt;=Parametros!$B$4,Parametros!$B$3,0)</f>
        <v>249095</v>
      </c>
      <c r="S35" s="18" t="n">
        <f aca="false">Q35*Parametros!$B$5</f>
        <v>70036.2</v>
      </c>
      <c r="T35" s="18" t="n">
        <f aca="false">Q35*Parametros!$B$6</f>
        <v>70036.2</v>
      </c>
      <c r="U35" s="18" t="n">
        <f aca="false">(Q35+R35)*Parametros!$B$10</f>
        <v>166666.666666667</v>
      </c>
      <c r="V35" s="18" t="n">
        <f aca="false">U35*Parametros!$B$11</f>
        <v>20000</v>
      </c>
      <c r="W35" s="18" t="n">
        <f aca="false">(Q35+R35)*Parametros!$B$12</f>
        <v>166666.666666667</v>
      </c>
      <c r="X35" s="18" t="n">
        <f aca="false">Q35*Parametros!$B$13</f>
        <v>73012.7385</v>
      </c>
      <c r="Y35" s="18" t="n">
        <f aca="false">Q35*Parametros!$B$7</f>
        <v>148826.925</v>
      </c>
      <c r="Z35" s="18" t="n">
        <f aca="false">Q35*Parametros!$B$8</f>
        <v>210108.6</v>
      </c>
      <c r="AA35" s="18" t="n">
        <f aca="false">Q35*Parametros!$B$9</f>
        <v>70036.2</v>
      </c>
      <c r="AB35" s="18" t="n">
        <f aca="false">Q35*P35</f>
        <v>9139.7241</v>
      </c>
    </row>
    <row r="36" customFormat="false" ht="15" hidden="false" customHeight="false" outlineLevel="0" collapsed="false">
      <c r="A36" s="14" t="s">
        <v>158</v>
      </c>
      <c r="B36" s="14" t="s">
        <v>133</v>
      </c>
      <c r="C36" s="14" t="s">
        <v>159</v>
      </c>
      <c r="D36" s="14" t="s">
        <v>77</v>
      </c>
      <c r="E36" s="15" t="n">
        <v>32353</v>
      </c>
      <c r="F36" s="14" t="s">
        <v>57</v>
      </c>
      <c r="G36" s="14" t="s">
        <v>58</v>
      </c>
      <c r="H36" s="14" t="s">
        <v>59</v>
      </c>
      <c r="I36" s="14" t="s">
        <v>160</v>
      </c>
      <c r="J36" s="15" t="n">
        <v>44409</v>
      </c>
      <c r="K36" s="15"/>
      <c r="L36" s="14" t="s">
        <v>72</v>
      </c>
      <c r="M36" s="14" t="s">
        <v>62</v>
      </c>
      <c r="N36" s="14" t="s">
        <v>63</v>
      </c>
      <c r="O36" s="14" t="s">
        <v>83</v>
      </c>
      <c r="P36" s="16" t="n">
        <v>0.00522</v>
      </c>
      <c r="Q36" s="17" t="n">
        <v>8000000</v>
      </c>
      <c r="R36" s="18" t="n">
        <f aca="false">IF(Q36&lt;=Parametros!$B$4,Parametros!$B$3,0)</f>
        <v>0</v>
      </c>
      <c r="S36" s="18" t="n">
        <f aca="false">Q36*Parametros!$B$5</f>
        <v>320000</v>
      </c>
      <c r="T36" s="18" t="n">
        <f aca="false">Q36*Parametros!$B$6</f>
        <v>320000</v>
      </c>
      <c r="U36" s="18" t="n">
        <f aca="false">(Q36+R36)*Parametros!$B$10</f>
        <v>666666.666666667</v>
      </c>
      <c r="V36" s="18" t="n">
        <f aca="false">U36*Parametros!$B$11</f>
        <v>80000</v>
      </c>
      <c r="W36" s="18" t="n">
        <f aca="false">(Q36+R36)*Parametros!$B$12</f>
        <v>666666.666666667</v>
      </c>
      <c r="X36" s="18" t="n">
        <f aca="false">Q36*Parametros!$B$13</f>
        <v>333600</v>
      </c>
      <c r="Y36" s="18" t="n">
        <f aca="false">Q36*Parametros!$B$7</f>
        <v>680000</v>
      </c>
      <c r="Z36" s="18" t="n">
        <f aca="false">Q36*Parametros!$B$8</f>
        <v>960000</v>
      </c>
      <c r="AA36" s="18" t="n">
        <f aca="false">Q36*Parametros!$B$9</f>
        <v>320000</v>
      </c>
      <c r="AB36" s="18" t="n">
        <f aca="false">Q36*P36</f>
        <v>41760</v>
      </c>
    </row>
    <row r="37" customFormat="false" ht="15" hidden="false" customHeight="false" outlineLevel="0" collapsed="false">
      <c r="A37" s="14" t="s">
        <v>161</v>
      </c>
      <c r="B37" s="14" t="s">
        <v>121</v>
      </c>
      <c r="C37" s="14" t="s">
        <v>71</v>
      </c>
      <c r="D37" s="14" t="s">
        <v>56</v>
      </c>
      <c r="E37" s="15" t="n">
        <v>27449</v>
      </c>
      <c r="F37" s="14" t="s">
        <v>57</v>
      </c>
      <c r="G37" s="14" t="s">
        <v>58</v>
      </c>
      <c r="H37" s="14" t="s">
        <v>59</v>
      </c>
      <c r="I37" s="14" t="s">
        <v>128</v>
      </c>
      <c r="J37" s="15" t="n">
        <v>44621</v>
      </c>
      <c r="K37" s="15"/>
      <c r="L37" s="14" t="s">
        <v>86</v>
      </c>
      <c r="M37" s="14" t="s">
        <v>79</v>
      </c>
      <c r="N37" s="14" t="s">
        <v>63</v>
      </c>
      <c r="O37" s="14" t="s">
        <v>64</v>
      </c>
      <c r="P37" s="16" t="n">
        <v>0.00522</v>
      </c>
      <c r="Q37" s="17" t="n">
        <v>1750905</v>
      </c>
      <c r="R37" s="18" t="n">
        <f aca="false">IF(Q37&lt;=Parametros!$B$4,Parametros!$B$3,0)</f>
        <v>249095</v>
      </c>
      <c r="S37" s="18" t="n">
        <f aca="false">Q37*Parametros!$B$5</f>
        <v>70036.2</v>
      </c>
      <c r="T37" s="18" t="n">
        <f aca="false">Q37*Parametros!$B$6</f>
        <v>70036.2</v>
      </c>
      <c r="U37" s="18" t="n">
        <f aca="false">(Q37+R37)*Parametros!$B$10</f>
        <v>166666.666666667</v>
      </c>
      <c r="V37" s="18" t="n">
        <f aca="false">U37*Parametros!$B$11</f>
        <v>20000</v>
      </c>
      <c r="W37" s="18" t="n">
        <f aca="false">(Q37+R37)*Parametros!$B$12</f>
        <v>166666.666666667</v>
      </c>
      <c r="X37" s="18" t="n">
        <f aca="false">Q37*Parametros!$B$13</f>
        <v>73012.7385</v>
      </c>
      <c r="Y37" s="18" t="n">
        <f aca="false">Q37*Parametros!$B$7</f>
        <v>148826.925</v>
      </c>
      <c r="Z37" s="18" t="n">
        <f aca="false">Q37*Parametros!$B$8</f>
        <v>210108.6</v>
      </c>
      <c r="AA37" s="18" t="n">
        <f aca="false">Q37*Parametros!$B$9</f>
        <v>70036.2</v>
      </c>
      <c r="AB37" s="18" t="n">
        <f aca="false">Q37*P37</f>
        <v>9139.7241</v>
      </c>
    </row>
    <row r="38" customFormat="false" ht="15" hidden="false" customHeight="false" outlineLevel="0" collapsed="false">
      <c r="A38" s="14" t="s">
        <v>162</v>
      </c>
      <c r="B38" s="14" t="s">
        <v>163</v>
      </c>
      <c r="C38" s="14" t="s">
        <v>82</v>
      </c>
      <c r="D38" s="14" t="s">
        <v>77</v>
      </c>
      <c r="E38" s="15" t="n">
        <v>30028</v>
      </c>
      <c r="F38" s="14" t="s">
        <v>57</v>
      </c>
      <c r="G38" s="14" t="s">
        <v>58</v>
      </c>
      <c r="H38" s="14" t="s">
        <v>59</v>
      </c>
      <c r="I38" s="14" t="s">
        <v>128</v>
      </c>
      <c r="J38" s="15" t="n">
        <v>46120</v>
      </c>
      <c r="K38" s="15"/>
      <c r="L38" s="14" t="s">
        <v>86</v>
      </c>
      <c r="M38" s="14" t="s">
        <v>62</v>
      </c>
      <c r="N38" s="14" t="s">
        <v>63</v>
      </c>
      <c r="O38" s="14" t="s">
        <v>64</v>
      </c>
      <c r="P38" s="16" t="n">
        <v>0.00522</v>
      </c>
      <c r="Q38" s="17" t="n">
        <v>1750905</v>
      </c>
      <c r="R38" s="18" t="n">
        <f aca="false">IF(Q38&lt;=Parametros!$B$4,Parametros!$B$3,0)</f>
        <v>249095</v>
      </c>
      <c r="S38" s="18" t="n">
        <f aca="false">Q38*Parametros!$B$5</f>
        <v>70036.2</v>
      </c>
      <c r="T38" s="18" t="n">
        <f aca="false">Q38*Parametros!$B$6</f>
        <v>70036.2</v>
      </c>
      <c r="U38" s="18" t="n">
        <f aca="false">(Q38+R38)*Parametros!$B$10</f>
        <v>166666.666666667</v>
      </c>
      <c r="V38" s="18" t="n">
        <f aca="false">U38*Parametros!$B$11</f>
        <v>20000</v>
      </c>
      <c r="W38" s="18" t="n">
        <f aca="false">(Q38+R38)*Parametros!$B$12</f>
        <v>166666.666666667</v>
      </c>
      <c r="X38" s="18" t="n">
        <f aca="false">Q38*Parametros!$B$13</f>
        <v>73012.7385</v>
      </c>
      <c r="Y38" s="18" t="n">
        <f aca="false">Q38*Parametros!$B$7</f>
        <v>148826.925</v>
      </c>
      <c r="Z38" s="18" t="n">
        <f aca="false">Q38*Parametros!$B$8</f>
        <v>210108.6</v>
      </c>
      <c r="AA38" s="18" t="n">
        <f aca="false">Q38*Parametros!$B$9</f>
        <v>70036.2</v>
      </c>
      <c r="AB38" s="18" t="n">
        <f aca="false">Q38*P38</f>
        <v>9139.7241</v>
      </c>
    </row>
    <row r="39" customFormat="false" ht="15" hidden="false" customHeight="false" outlineLevel="0" collapsed="false">
      <c r="A39" s="14" t="s">
        <v>164</v>
      </c>
      <c r="B39" s="14" t="s">
        <v>165</v>
      </c>
      <c r="C39" s="14" t="s">
        <v>166</v>
      </c>
      <c r="D39" s="14" t="s">
        <v>77</v>
      </c>
      <c r="E39" s="15" t="n">
        <v>30171</v>
      </c>
      <c r="F39" s="14" t="s">
        <v>57</v>
      </c>
      <c r="G39" s="14" t="s">
        <v>58</v>
      </c>
      <c r="H39" s="14" t="s">
        <v>59</v>
      </c>
      <c r="I39" s="14" t="s">
        <v>112</v>
      </c>
      <c r="J39" s="15" t="n">
        <v>43467</v>
      </c>
      <c r="K39" s="15"/>
      <c r="L39" s="14" t="s">
        <v>86</v>
      </c>
      <c r="M39" s="14" t="s">
        <v>79</v>
      </c>
      <c r="N39" s="14" t="s">
        <v>63</v>
      </c>
      <c r="O39" s="14" t="s">
        <v>64</v>
      </c>
      <c r="P39" s="16" t="n">
        <v>0.0696</v>
      </c>
      <c r="Q39" s="17" t="n">
        <v>1900000</v>
      </c>
      <c r="R39" s="18" t="n">
        <f aca="false">IF(Q39&lt;=Parametros!$B$4,Parametros!$B$3,0)</f>
        <v>249095</v>
      </c>
      <c r="S39" s="18" t="n">
        <f aca="false">Q39*Parametros!$B$5</f>
        <v>76000</v>
      </c>
      <c r="T39" s="18" t="n">
        <f aca="false">Q39*Parametros!$B$6</f>
        <v>76000</v>
      </c>
      <c r="U39" s="18" t="n">
        <f aca="false">(Q39+R39)*Parametros!$B$10</f>
        <v>179091.25</v>
      </c>
      <c r="V39" s="18" t="n">
        <f aca="false">U39*Parametros!$B$11</f>
        <v>21490.95</v>
      </c>
      <c r="W39" s="18" t="n">
        <f aca="false">(Q39+R39)*Parametros!$B$12</f>
        <v>179091.25</v>
      </c>
      <c r="X39" s="18" t="n">
        <f aca="false">Q39*Parametros!$B$13</f>
        <v>79230</v>
      </c>
      <c r="Y39" s="18" t="n">
        <f aca="false">Q39*Parametros!$B$7</f>
        <v>161500</v>
      </c>
      <c r="Z39" s="18" t="n">
        <f aca="false">Q39*Parametros!$B$8</f>
        <v>228000</v>
      </c>
      <c r="AA39" s="18" t="n">
        <f aca="false">Q39*Parametros!$B$9</f>
        <v>76000</v>
      </c>
      <c r="AB39" s="18" t="n">
        <f aca="false">Q39*P39</f>
        <v>132240</v>
      </c>
    </row>
    <row r="40" customFormat="false" ht="15" hidden="false" customHeight="false" outlineLevel="0" collapsed="false">
      <c r="A40" s="14" t="s">
        <v>167</v>
      </c>
      <c r="B40" s="14" t="s">
        <v>168</v>
      </c>
      <c r="C40" s="14" t="s">
        <v>82</v>
      </c>
      <c r="D40" s="14" t="s">
        <v>77</v>
      </c>
      <c r="E40" s="15" t="n">
        <v>29058</v>
      </c>
      <c r="F40" s="14" t="s">
        <v>57</v>
      </c>
      <c r="G40" s="14" t="s">
        <v>58</v>
      </c>
      <c r="H40" s="14" t="s">
        <v>59</v>
      </c>
      <c r="I40" s="14" t="s">
        <v>60</v>
      </c>
      <c r="J40" s="15" t="n">
        <v>45761</v>
      </c>
      <c r="K40" s="15"/>
      <c r="L40" s="14" t="s">
        <v>72</v>
      </c>
      <c r="M40" s="14" t="s">
        <v>62</v>
      </c>
      <c r="N40" s="14" t="s">
        <v>63</v>
      </c>
      <c r="O40" s="14" t="s">
        <v>64</v>
      </c>
      <c r="P40" s="16" t="n">
        <v>0.0435</v>
      </c>
      <c r="Q40" s="17" t="n">
        <v>1750905</v>
      </c>
      <c r="R40" s="18" t="n">
        <f aca="false">IF(Q40&lt;=Parametros!$B$4,Parametros!$B$3,0)</f>
        <v>249095</v>
      </c>
      <c r="S40" s="18" t="n">
        <f aca="false">Q40*Parametros!$B$5</f>
        <v>70036.2</v>
      </c>
      <c r="T40" s="18" t="n">
        <f aca="false">Q40*Parametros!$B$6</f>
        <v>70036.2</v>
      </c>
      <c r="U40" s="18" t="n">
        <f aca="false">(Q40+R40)*Parametros!$B$10</f>
        <v>166666.666666667</v>
      </c>
      <c r="V40" s="18" t="n">
        <f aca="false">U40*Parametros!$B$11</f>
        <v>20000</v>
      </c>
      <c r="W40" s="18" t="n">
        <f aca="false">(Q40+R40)*Parametros!$B$12</f>
        <v>166666.666666667</v>
      </c>
      <c r="X40" s="18" t="n">
        <f aca="false">Q40*Parametros!$B$13</f>
        <v>73012.7385</v>
      </c>
      <c r="Y40" s="18" t="n">
        <f aca="false">Q40*Parametros!$B$7</f>
        <v>148826.925</v>
      </c>
      <c r="Z40" s="18" t="n">
        <f aca="false">Q40*Parametros!$B$8</f>
        <v>210108.6</v>
      </c>
      <c r="AA40" s="18" t="n">
        <f aca="false">Q40*Parametros!$B$9</f>
        <v>70036.2</v>
      </c>
      <c r="AB40" s="18" t="n">
        <f aca="false">Q40*P40</f>
        <v>76164.3675</v>
      </c>
    </row>
    <row r="41" customFormat="false" ht="15" hidden="false" customHeight="false" outlineLevel="0" collapsed="false">
      <c r="A41" s="14" t="s">
        <v>169</v>
      </c>
      <c r="B41" s="14" t="s">
        <v>170</v>
      </c>
      <c r="C41" s="14" t="s">
        <v>92</v>
      </c>
      <c r="D41" s="14" t="s">
        <v>56</v>
      </c>
      <c r="E41" s="15" t="n">
        <v>26835</v>
      </c>
      <c r="F41" s="14" t="s">
        <v>57</v>
      </c>
      <c r="G41" s="14" t="s">
        <v>58</v>
      </c>
      <c r="H41" s="14" t="s">
        <v>59</v>
      </c>
      <c r="I41" s="14" t="s">
        <v>171</v>
      </c>
      <c r="J41" s="15" t="n">
        <v>45352</v>
      </c>
      <c r="K41" s="15"/>
      <c r="L41" s="14" t="s">
        <v>97</v>
      </c>
      <c r="M41" s="14" t="s">
        <v>79</v>
      </c>
      <c r="N41" s="14" t="s">
        <v>63</v>
      </c>
      <c r="O41" s="14" t="s">
        <v>83</v>
      </c>
      <c r="P41" s="16" t="n">
        <v>0.00522</v>
      </c>
      <c r="Q41" s="17" t="n">
        <v>1750905</v>
      </c>
      <c r="R41" s="18" t="n">
        <f aca="false">IF(Q41&lt;=Parametros!$B$4,Parametros!$B$3,0)</f>
        <v>249095</v>
      </c>
      <c r="S41" s="18" t="n">
        <f aca="false">Q41*Parametros!$B$5</f>
        <v>70036.2</v>
      </c>
      <c r="T41" s="18" t="n">
        <f aca="false">Q41*Parametros!$B$6</f>
        <v>70036.2</v>
      </c>
      <c r="U41" s="18" t="n">
        <f aca="false">(Q41+R41)*Parametros!$B$10</f>
        <v>166666.666666667</v>
      </c>
      <c r="V41" s="18" t="n">
        <f aca="false">U41*Parametros!$B$11</f>
        <v>20000</v>
      </c>
      <c r="W41" s="18" t="n">
        <f aca="false">(Q41+R41)*Parametros!$B$12</f>
        <v>166666.666666667</v>
      </c>
      <c r="X41" s="18" t="n">
        <f aca="false">Q41*Parametros!$B$13</f>
        <v>73012.7385</v>
      </c>
      <c r="Y41" s="18" t="n">
        <f aca="false">Q41*Parametros!$B$7</f>
        <v>148826.925</v>
      </c>
      <c r="Z41" s="18" t="n">
        <f aca="false">Q41*Parametros!$B$8</f>
        <v>210108.6</v>
      </c>
      <c r="AA41" s="18" t="n">
        <f aca="false">Q41*Parametros!$B$9</f>
        <v>70036.2</v>
      </c>
      <c r="AB41" s="18" t="n">
        <f aca="false">Q41*P41</f>
        <v>9139.7241</v>
      </c>
    </row>
    <row r="42" customFormat="false" ht="15" hidden="false" customHeight="false" outlineLevel="0" collapsed="false">
      <c r="A42" s="14" t="s">
        <v>172</v>
      </c>
      <c r="B42" s="14" t="s">
        <v>173</v>
      </c>
      <c r="C42" s="14" t="s">
        <v>174</v>
      </c>
      <c r="D42" s="14" t="s">
        <v>56</v>
      </c>
      <c r="E42" s="15" t="n">
        <v>26660</v>
      </c>
      <c r="F42" s="14" t="s">
        <v>57</v>
      </c>
      <c r="G42" s="14" t="s">
        <v>58</v>
      </c>
      <c r="H42" s="14" t="s">
        <v>59</v>
      </c>
      <c r="I42" s="14" t="s">
        <v>147</v>
      </c>
      <c r="J42" s="15" t="n">
        <v>46177</v>
      </c>
      <c r="K42" s="15"/>
      <c r="L42" s="14" t="s">
        <v>61</v>
      </c>
      <c r="M42" s="14" t="s">
        <v>62</v>
      </c>
      <c r="N42" s="14" t="s">
        <v>63</v>
      </c>
      <c r="O42" s="14" t="s">
        <v>64</v>
      </c>
      <c r="P42" s="16" t="n">
        <v>0.00522</v>
      </c>
      <c r="Q42" s="17" t="n">
        <v>1750905</v>
      </c>
      <c r="R42" s="18" t="n">
        <f aca="false">IF(Q42&lt;=Parametros!$B$4,Parametros!$B$3,0)</f>
        <v>249095</v>
      </c>
      <c r="S42" s="18" t="n">
        <f aca="false">Q42*Parametros!$B$5</f>
        <v>70036.2</v>
      </c>
      <c r="T42" s="18" t="n">
        <f aca="false">Q42*Parametros!$B$6</f>
        <v>70036.2</v>
      </c>
      <c r="U42" s="18" t="n">
        <f aca="false">(Q42+R42)*Parametros!$B$10</f>
        <v>166666.666666667</v>
      </c>
      <c r="V42" s="18" t="n">
        <f aca="false">U42*Parametros!$B$11</f>
        <v>20000</v>
      </c>
      <c r="W42" s="18" t="n">
        <f aca="false">(Q42+R42)*Parametros!$B$12</f>
        <v>166666.666666667</v>
      </c>
      <c r="X42" s="18" t="n">
        <f aca="false">Q42*Parametros!$B$13</f>
        <v>73012.7385</v>
      </c>
      <c r="Y42" s="18" t="n">
        <f aca="false">Q42*Parametros!$B$7</f>
        <v>148826.925</v>
      </c>
      <c r="Z42" s="18" t="n">
        <f aca="false">Q42*Parametros!$B$8</f>
        <v>210108.6</v>
      </c>
      <c r="AA42" s="18" t="n">
        <f aca="false">Q42*Parametros!$B$9</f>
        <v>70036.2</v>
      </c>
      <c r="AB42" s="18" t="n">
        <f aca="false">Q42*P42</f>
        <v>9139.7241</v>
      </c>
    </row>
    <row r="43" customFormat="false" ht="15" hidden="false" customHeight="false" outlineLevel="0" collapsed="false">
      <c r="A43" s="14" t="s">
        <v>175</v>
      </c>
      <c r="B43" s="14" t="s">
        <v>70</v>
      </c>
      <c r="C43" s="14" t="s">
        <v>67</v>
      </c>
      <c r="D43" s="14" t="s">
        <v>56</v>
      </c>
      <c r="E43" s="15" t="n">
        <v>27095</v>
      </c>
      <c r="F43" s="14" t="s">
        <v>57</v>
      </c>
      <c r="G43" s="14" t="s">
        <v>58</v>
      </c>
      <c r="H43" s="14" t="s">
        <v>59</v>
      </c>
      <c r="I43" s="14" t="s">
        <v>60</v>
      </c>
      <c r="J43" s="15" t="n">
        <v>46097</v>
      </c>
      <c r="K43" s="15" t="n">
        <v>46143</v>
      </c>
      <c r="L43" s="14" t="s">
        <v>86</v>
      </c>
      <c r="M43" s="14" t="s">
        <v>79</v>
      </c>
      <c r="N43" s="14" t="s">
        <v>63</v>
      </c>
      <c r="O43" s="14" t="s">
        <v>64</v>
      </c>
      <c r="P43" s="16" t="n">
        <v>0.0435</v>
      </c>
      <c r="Q43" s="17" t="n">
        <v>1750905</v>
      </c>
      <c r="R43" s="18" t="n">
        <f aca="false">IF(Q43&lt;=Parametros!$B$4,Parametros!$B$3,0)</f>
        <v>249095</v>
      </c>
      <c r="S43" s="18" t="n">
        <f aca="false">Q43*Parametros!$B$5</f>
        <v>70036.2</v>
      </c>
      <c r="T43" s="18" t="n">
        <f aca="false">Q43*Parametros!$B$6</f>
        <v>70036.2</v>
      </c>
      <c r="U43" s="18" t="n">
        <f aca="false">(Q43+R43)*Parametros!$B$10</f>
        <v>166666.666666667</v>
      </c>
      <c r="V43" s="18" t="n">
        <f aca="false">U43*Parametros!$B$11</f>
        <v>20000</v>
      </c>
      <c r="W43" s="18" t="n">
        <f aca="false">(Q43+R43)*Parametros!$B$12</f>
        <v>166666.666666667</v>
      </c>
      <c r="X43" s="18" t="n">
        <f aca="false">Q43*Parametros!$B$13</f>
        <v>73012.7385</v>
      </c>
      <c r="Y43" s="18" t="n">
        <f aca="false">Q43*Parametros!$B$7</f>
        <v>148826.925</v>
      </c>
      <c r="Z43" s="18" t="n">
        <f aca="false">Q43*Parametros!$B$8</f>
        <v>210108.6</v>
      </c>
      <c r="AA43" s="18" t="n">
        <f aca="false">Q43*Parametros!$B$9</f>
        <v>70036.2</v>
      </c>
      <c r="AB43" s="18" t="n">
        <f aca="false">Q43*P43</f>
        <v>76164.3675</v>
      </c>
    </row>
    <row r="44" customFormat="false" ht="15" hidden="false" customHeight="false" outlineLevel="0" collapsed="false">
      <c r="A44" s="14" t="s">
        <v>176</v>
      </c>
      <c r="B44" s="14" t="s">
        <v>177</v>
      </c>
      <c r="C44" s="14" t="s">
        <v>178</v>
      </c>
      <c r="D44" s="14" t="s">
        <v>56</v>
      </c>
      <c r="E44" s="15" t="n">
        <v>25900</v>
      </c>
      <c r="F44" s="14" t="s">
        <v>57</v>
      </c>
      <c r="G44" s="14" t="s">
        <v>107</v>
      </c>
      <c r="H44" s="14" t="s">
        <v>179</v>
      </c>
      <c r="I44" s="14" t="s">
        <v>112</v>
      </c>
      <c r="J44" s="15" t="n">
        <v>45717</v>
      </c>
      <c r="K44" s="15"/>
      <c r="L44" s="14" t="s">
        <v>97</v>
      </c>
      <c r="M44" s="14" t="s">
        <v>62</v>
      </c>
      <c r="N44" s="14" t="s">
        <v>63</v>
      </c>
      <c r="O44" s="14" t="s">
        <v>64</v>
      </c>
      <c r="P44" s="16" t="n">
        <v>0.0696</v>
      </c>
      <c r="Q44" s="17" t="n">
        <v>1900000</v>
      </c>
      <c r="R44" s="18" t="n">
        <f aca="false">IF(Q44&lt;=Parametros!$B$4,Parametros!$B$3,0)</f>
        <v>249095</v>
      </c>
      <c r="S44" s="18" t="n">
        <f aca="false">Q44*Parametros!$B$5</f>
        <v>76000</v>
      </c>
      <c r="T44" s="18" t="n">
        <f aca="false">Q44*Parametros!$B$6</f>
        <v>76000</v>
      </c>
      <c r="U44" s="18" t="n">
        <f aca="false">(Q44+R44)*Parametros!$B$10</f>
        <v>179091.25</v>
      </c>
      <c r="V44" s="18" t="n">
        <f aca="false">U44*Parametros!$B$11</f>
        <v>21490.95</v>
      </c>
      <c r="W44" s="18" t="n">
        <f aca="false">(Q44+R44)*Parametros!$B$12</f>
        <v>179091.25</v>
      </c>
      <c r="X44" s="18" t="n">
        <f aca="false">Q44*Parametros!$B$13</f>
        <v>79230</v>
      </c>
      <c r="Y44" s="18" t="n">
        <f aca="false">Q44*Parametros!$B$7</f>
        <v>161500</v>
      </c>
      <c r="Z44" s="18" t="n">
        <f aca="false">Q44*Parametros!$B$8</f>
        <v>228000</v>
      </c>
      <c r="AA44" s="18" t="n">
        <f aca="false">Q44*Parametros!$B$9</f>
        <v>76000</v>
      </c>
      <c r="AB44" s="18" t="n">
        <f aca="false">Q44*P44</f>
        <v>132240</v>
      </c>
    </row>
    <row r="45" customFormat="false" ht="15" hidden="false" customHeight="false" outlineLevel="0" collapsed="false">
      <c r="A45" s="14" t="s">
        <v>180</v>
      </c>
      <c r="B45" s="14" t="s">
        <v>168</v>
      </c>
      <c r="C45" s="14" t="s">
        <v>125</v>
      </c>
      <c r="D45" s="14" t="s">
        <v>56</v>
      </c>
      <c r="E45" s="15" t="n">
        <v>33746</v>
      </c>
      <c r="F45" s="14" t="s">
        <v>57</v>
      </c>
      <c r="G45" s="14" t="s">
        <v>58</v>
      </c>
      <c r="H45" s="14" t="s">
        <v>59</v>
      </c>
      <c r="I45" s="14" t="s">
        <v>60</v>
      </c>
      <c r="J45" s="15" t="n">
        <v>44562</v>
      </c>
      <c r="K45" s="15"/>
      <c r="L45" s="14" t="s">
        <v>78</v>
      </c>
      <c r="M45" s="14" t="s">
        <v>73</v>
      </c>
      <c r="N45" s="14" t="s">
        <v>63</v>
      </c>
      <c r="O45" s="14" t="s">
        <v>64</v>
      </c>
      <c r="P45" s="16" t="n">
        <v>0.0435</v>
      </c>
      <c r="Q45" s="17" t="n">
        <v>1750905</v>
      </c>
      <c r="R45" s="18" t="n">
        <f aca="false">IF(Q45&lt;=Parametros!$B$4,Parametros!$B$3,0)</f>
        <v>249095</v>
      </c>
      <c r="S45" s="18" t="n">
        <f aca="false">Q45*Parametros!$B$5</f>
        <v>70036.2</v>
      </c>
      <c r="T45" s="18" t="n">
        <f aca="false">Q45*Parametros!$B$6</f>
        <v>70036.2</v>
      </c>
      <c r="U45" s="18" t="n">
        <f aca="false">(Q45+R45)*Parametros!$B$10</f>
        <v>166666.666666667</v>
      </c>
      <c r="V45" s="18" t="n">
        <f aca="false">U45*Parametros!$B$11</f>
        <v>20000</v>
      </c>
      <c r="W45" s="18" t="n">
        <f aca="false">(Q45+R45)*Parametros!$B$12</f>
        <v>166666.666666667</v>
      </c>
      <c r="X45" s="18" t="n">
        <f aca="false">Q45*Parametros!$B$13</f>
        <v>73012.7385</v>
      </c>
      <c r="Y45" s="18" t="n">
        <f aca="false">Q45*Parametros!$B$7</f>
        <v>148826.925</v>
      </c>
      <c r="Z45" s="18" t="n">
        <f aca="false">Q45*Parametros!$B$8</f>
        <v>210108.6</v>
      </c>
      <c r="AA45" s="18" t="n">
        <f aca="false">Q45*Parametros!$B$9</f>
        <v>70036.2</v>
      </c>
      <c r="AB45" s="18" t="n">
        <f aca="false">Q45*P45</f>
        <v>76164.3675</v>
      </c>
    </row>
    <row r="46" customFormat="false" ht="15" hidden="false" customHeight="false" outlineLevel="0" collapsed="false">
      <c r="A46" s="14" t="s">
        <v>181</v>
      </c>
      <c r="B46" s="14" t="s">
        <v>182</v>
      </c>
      <c r="C46" s="14" t="s">
        <v>183</v>
      </c>
      <c r="D46" s="14" t="s">
        <v>77</v>
      </c>
      <c r="E46" s="15" t="n">
        <v>35759</v>
      </c>
      <c r="F46" s="14" t="s">
        <v>57</v>
      </c>
      <c r="G46" s="14" t="s">
        <v>58</v>
      </c>
      <c r="H46" s="14" t="s">
        <v>59</v>
      </c>
      <c r="I46" s="14" t="s">
        <v>60</v>
      </c>
      <c r="J46" s="15" t="n">
        <v>45931</v>
      </c>
      <c r="K46" s="15"/>
      <c r="L46" s="14" t="s">
        <v>86</v>
      </c>
      <c r="M46" s="14" t="s">
        <v>79</v>
      </c>
      <c r="N46" s="14" t="s">
        <v>63</v>
      </c>
      <c r="O46" s="14" t="s">
        <v>64</v>
      </c>
      <c r="P46" s="16" t="n">
        <v>0.0435</v>
      </c>
      <c r="Q46" s="17" t="n">
        <v>1750905</v>
      </c>
      <c r="R46" s="18" t="n">
        <f aca="false">IF(Q46&lt;=Parametros!$B$4,Parametros!$B$3,0)</f>
        <v>249095</v>
      </c>
      <c r="S46" s="18" t="n">
        <f aca="false">Q46*Parametros!$B$5</f>
        <v>70036.2</v>
      </c>
      <c r="T46" s="18" t="n">
        <f aca="false">Q46*Parametros!$B$6</f>
        <v>70036.2</v>
      </c>
      <c r="U46" s="18" t="n">
        <f aca="false">(Q46+R46)*Parametros!$B$10</f>
        <v>166666.666666667</v>
      </c>
      <c r="V46" s="18" t="n">
        <f aca="false">U46*Parametros!$B$11</f>
        <v>20000</v>
      </c>
      <c r="W46" s="18" t="n">
        <f aca="false">(Q46+R46)*Parametros!$B$12</f>
        <v>166666.666666667</v>
      </c>
      <c r="X46" s="18" t="n">
        <f aca="false">Q46*Parametros!$B$13</f>
        <v>73012.7385</v>
      </c>
      <c r="Y46" s="18" t="n">
        <f aca="false">Q46*Parametros!$B$7</f>
        <v>148826.925</v>
      </c>
      <c r="Z46" s="18" t="n">
        <f aca="false">Q46*Parametros!$B$8</f>
        <v>210108.6</v>
      </c>
      <c r="AA46" s="18" t="n">
        <f aca="false">Q46*Parametros!$B$9</f>
        <v>70036.2</v>
      </c>
      <c r="AB46" s="18" t="n">
        <f aca="false">Q46*P46</f>
        <v>76164.3675</v>
      </c>
    </row>
    <row r="47" customFormat="false" ht="15" hidden="false" customHeight="false" outlineLevel="0" collapsed="false">
      <c r="A47" s="14" t="s">
        <v>184</v>
      </c>
      <c r="B47" s="14" t="s">
        <v>185</v>
      </c>
      <c r="C47" s="14" t="s">
        <v>92</v>
      </c>
      <c r="D47" s="14" t="s">
        <v>56</v>
      </c>
      <c r="E47" s="15" t="n">
        <v>28044</v>
      </c>
      <c r="F47" s="14" t="s">
        <v>57</v>
      </c>
      <c r="G47" s="14" t="s">
        <v>58</v>
      </c>
      <c r="H47" s="14" t="s">
        <v>59</v>
      </c>
      <c r="I47" s="14" t="s">
        <v>112</v>
      </c>
      <c r="J47" s="15" t="n">
        <v>45870</v>
      </c>
      <c r="K47" s="15"/>
      <c r="L47" s="14" t="s">
        <v>72</v>
      </c>
      <c r="M47" s="14" t="s">
        <v>79</v>
      </c>
      <c r="N47" s="14" t="s">
        <v>63</v>
      </c>
      <c r="O47" s="14" t="s">
        <v>64</v>
      </c>
      <c r="P47" s="16" t="n">
        <v>0.0696</v>
      </c>
      <c r="Q47" s="17" t="n">
        <v>1900000</v>
      </c>
      <c r="R47" s="18" t="n">
        <f aca="false">IF(Q47&lt;=Parametros!$B$4,Parametros!$B$3,0)</f>
        <v>249095</v>
      </c>
      <c r="S47" s="18" t="n">
        <f aca="false">Q47*Parametros!$B$5</f>
        <v>76000</v>
      </c>
      <c r="T47" s="18" t="n">
        <f aca="false">Q47*Parametros!$B$6</f>
        <v>76000</v>
      </c>
      <c r="U47" s="18" t="n">
        <f aca="false">(Q47+R47)*Parametros!$B$10</f>
        <v>179091.25</v>
      </c>
      <c r="V47" s="18" t="n">
        <f aca="false">U47*Parametros!$B$11</f>
        <v>21490.95</v>
      </c>
      <c r="W47" s="18" t="n">
        <f aca="false">(Q47+R47)*Parametros!$B$12</f>
        <v>179091.25</v>
      </c>
      <c r="X47" s="18" t="n">
        <f aca="false">Q47*Parametros!$B$13</f>
        <v>79230</v>
      </c>
      <c r="Y47" s="18" t="n">
        <f aca="false">Q47*Parametros!$B$7</f>
        <v>161500</v>
      </c>
      <c r="Z47" s="18" t="n">
        <f aca="false">Q47*Parametros!$B$8</f>
        <v>228000</v>
      </c>
      <c r="AA47" s="18" t="n">
        <f aca="false">Q47*Parametros!$B$9</f>
        <v>76000</v>
      </c>
      <c r="AB47" s="18" t="n">
        <f aca="false">Q47*P47</f>
        <v>132240</v>
      </c>
    </row>
    <row r="48" customFormat="false" ht="15" hidden="false" customHeight="false" outlineLevel="0" collapsed="false">
      <c r="A48" s="14" t="s">
        <v>186</v>
      </c>
      <c r="B48" s="14" t="s">
        <v>105</v>
      </c>
      <c r="C48" s="14" t="s">
        <v>187</v>
      </c>
      <c r="D48" s="14" t="s">
        <v>77</v>
      </c>
      <c r="E48" s="15" t="n">
        <v>27442</v>
      </c>
      <c r="F48" s="14" t="s">
        <v>57</v>
      </c>
      <c r="G48" s="14" t="s">
        <v>58</v>
      </c>
      <c r="H48" s="14" t="s">
        <v>59</v>
      </c>
      <c r="I48" s="14" t="s">
        <v>188</v>
      </c>
      <c r="J48" s="15" t="n">
        <v>45400</v>
      </c>
      <c r="K48" s="15"/>
      <c r="L48" s="14" t="s">
        <v>97</v>
      </c>
      <c r="M48" s="14" t="s">
        <v>62</v>
      </c>
      <c r="N48" s="14" t="s">
        <v>63</v>
      </c>
      <c r="O48" s="14" t="s">
        <v>64</v>
      </c>
      <c r="P48" s="16" t="n">
        <v>0.0435</v>
      </c>
      <c r="Q48" s="17" t="n">
        <v>2600000</v>
      </c>
      <c r="R48" s="18" t="n">
        <f aca="false">IF(Q48&lt;=Parametros!$B$4,Parametros!$B$3,0)</f>
        <v>249095</v>
      </c>
      <c r="S48" s="18" t="n">
        <f aca="false">Q48*Parametros!$B$5</f>
        <v>104000</v>
      </c>
      <c r="T48" s="18" t="n">
        <f aca="false">Q48*Parametros!$B$6</f>
        <v>104000</v>
      </c>
      <c r="U48" s="18" t="n">
        <f aca="false">(Q48+R48)*Parametros!$B$10</f>
        <v>237424.583333333</v>
      </c>
      <c r="V48" s="18" t="n">
        <f aca="false">U48*Parametros!$B$11</f>
        <v>28490.95</v>
      </c>
      <c r="W48" s="18" t="n">
        <f aca="false">(Q48+R48)*Parametros!$B$12</f>
        <v>237424.583333333</v>
      </c>
      <c r="X48" s="18" t="n">
        <f aca="false">Q48*Parametros!$B$13</f>
        <v>108420</v>
      </c>
      <c r="Y48" s="18" t="n">
        <f aca="false">Q48*Parametros!$B$7</f>
        <v>221000</v>
      </c>
      <c r="Z48" s="18" t="n">
        <f aca="false">Q48*Parametros!$B$8</f>
        <v>312000</v>
      </c>
      <c r="AA48" s="18" t="n">
        <f aca="false">Q48*Parametros!$B$9</f>
        <v>104000</v>
      </c>
      <c r="AB48" s="18" t="n">
        <f aca="false">Q48*P48</f>
        <v>113100</v>
      </c>
    </row>
    <row r="49" customFormat="false" ht="15" hidden="false" customHeight="false" outlineLevel="0" collapsed="false">
      <c r="A49" s="14" t="s">
        <v>189</v>
      </c>
      <c r="B49" s="14" t="s">
        <v>81</v>
      </c>
      <c r="C49" s="14" t="s">
        <v>103</v>
      </c>
      <c r="D49" s="14" t="s">
        <v>56</v>
      </c>
      <c r="E49" s="15" t="n">
        <v>33589</v>
      </c>
      <c r="F49" s="14" t="s">
        <v>57</v>
      </c>
      <c r="G49" s="14" t="s">
        <v>58</v>
      </c>
      <c r="H49" s="14" t="s">
        <v>59</v>
      </c>
      <c r="I49" s="14" t="s">
        <v>128</v>
      </c>
      <c r="J49" s="15" t="n">
        <v>45413</v>
      </c>
      <c r="K49" s="15"/>
      <c r="L49" s="14" t="s">
        <v>86</v>
      </c>
      <c r="M49" s="14" t="s">
        <v>79</v>
      </c>
      <c r="N49" s="14" t="s">
        <v>63</v>
      </c>
      <c r="O49" s="14" t="s">
        <v>64</v>
      </c>
      <c r="P49" s="16" t="n">
        <v>0.00522</v>
      </c>
      <c r="Q49" s="17" t="n">
        <v>1750905</v>
      </c>
      <c r="R49" s="18" t="n">
        <f aca="false">IF(Q49&lt;=Parametros!$B$4,Parametros!$B$3,0)</f>
        <v>249095</v>
      </c>
      <c r="S49" s="18" t="n">
        <f aca="false">Q49*Parametros!$B$5</f>
        <v>70036.2</v>
      </c>
      <c r="T49" s="18" t="n">
        <f aca="false">Q49*Parametros!$B$6</f>
        <v>70036.2</v>
      </c>
      <c r="U49" s="18" t="n">
        <f aca="false">(Q49+R49)*Parametros!$B$10</f>
        <v>166666.666666667</v>
      </c>
      <c r="V49" s="18" t="n">
        <f aca="false">U49*Parametros!$B$11</f>
        <v>20000</v>
      </c>
      <c r="W49" s="18" t="n">
        <f aca="false">(Q49+R49)*Parametros!$B$12</f>
        <v>166666.666666667</v>
      </c>
      <c r="X49" s="18" t="n">
        <f aca="false">Q49*Parametros!$B$13</f>
        <v>73012.7385</v>
      </c>
      <c r="Y49" s="18" t="n">
        <f aca="false">Q49*Parametros!$B$7</f>
        <v>148826.925</v>
      </c>
      <c r="Z49" s="18" t="n">
        <f aca="false">Q49*Parametros!$B$8</f>
        <v>210108.6</v>
      </c>
      <c r="AA49" s="18" t="n">
        <f aca="false">Q49*Parametros!$B$9</f>
        <v>70036.2</v>
      </c>
      <c r="AB49" s="18" t="n">
        <f aca="false">Q49*P49</f>
        <v>9139.7241</v>
      </c>
    </row>
    <row r="50" customFormat="false" ht="15" hidden="false" customHeight="false" outlineLevel="0" collapsed="false">
      <c r="A50" s="14" t="s">
        <v>190</v>
      </c>
      <c r="B50" s="14" t="s">
        <v>81</v>
      </c>
      <c r="C50" s="14" t="s">
        <v>191</v>
      </c>
      <c r="D50" s="14" t="s">
        <v>77</v>
      </c>
      <c r="E50" s="15" t="n">
        <v>33960</v>
      </c>
      <c r="F50" s="14" t="s">
        <v>57</v>
      </c>
      <c r="G50" s="14" t="s">
        <v>58</v>
      </c>
      <c r="H50" s="14" t="s">
        <v>59</v>
      </c>
      <c r="I50" s="14" t="s">
        <v>192</v>
      </c>
      <c r="J50" s="15" t="n">
        <v>46230</v>
      </c>
      <c r="K50" s="15"/>
      <c r="L50" s="14" t="s">
        <v>61</v>
      </c>
      <c r="M50" s="14" t="s">
        <v>62</v>
      </c>
      <c r="N50" s="14" t="s">
        <v>63</v>
      </c>
      <c r="O50" s="14" t="s">
        <v>64</v>
      </c>
      <c r="P50" s="16" t="n">
        <v>0.00522</v>
      </c>
      <c r="Q50" s="17" t="n">
        <v>1750905</v>
      </c>
      <c r="R50" s="18" t="n">
        <f aca="false">IF(Q50&lt;=Parametros!$B$4,Parametros!$B$3,0)</f>
        <v>249095</v>
      </c>
      <c r="S50" s="18" t="n">
        <f aca="false">Q50*Parametros!$B$5</f>
        <v>70036.2</v>
      </c>
      <c r="T50" s="18" t="n">
        <f aca="false">Q50*Parametros!$B$6</f>
        <v>70036.2</v>
      </c>
      <c r="U50" s="18" t="n">
        <f aca="false">(Q50+R50)*Parametros!$B$10</f>
        <v>166666.666666667</v>
      </c>
      <c r="V50" s="18" t="n">
        <f aca="false">U50*Parametros!$B$11</f>
        <v>20000</v>
      </c>
      <c r="W50" s="18" t="n">
        <f aca="false">(Q50+R50)*Parametros!$B$12</f>
        <v>166666.666666667</v>
      </c>
      <c r="X50" s="18" t="n">
        <f aca="false">Q50*Parametros!$B$13</f>
        <v>73012.7385</v>
      </c>
      <c r="Y50" s="18" t="n">
        <f aca="false">Q50*Parametros!$B$7</f>
        <v>148826.925</v>
      </c>
      <c r="Z50" s="18" t="n">
        <f aca="false">Q50*Parametros!$B$8</f>
        <v>210108.6</v>
      </c>
      <c r="AA50" s="18" t="n">
        <f aca="false">Q50*Parametros!$B$9</f>
        <v>70036.2</v>
      </c>
      <c r="AB50" s="18" t="n">
        <f aca="false">Q50*P50</f>
        <v>9139.7241</v>
      </c>
    </row>
    <row r="51" customFormat="false" ht="15" hidden="false" customHeight="false" outlineLevel="0" collapsed="false">
      <c r="A51" s="14" t="s">
        <v>193</v>
      </c>
      <c r="B51" s="14" t="s">
        <v>81</v>
      </c>
      <c r="C51" s="14" t="s">
        <v>92</v>
      </c>
      <c r="D51" s="14" t="s">
        <v>56</v>
      </c>
      <c r="E51" s="15" t="n">
        <v>32071</v>
      </c>
      <c r="F51" s="14" t="s">
        <v>57</v>
      </c>
      <c r="G51" s="14" t="s">
        <v>58</v>
      </c>
      <c r="H51" s="14" t="s">
        <v>59</v>
      </c>
      <c r="I51" s="14" t="s">
        <v>60</v>
      </c>
      <c r="J51" s="15" t="n">
        <v>46027</v>
      </c>
      <c r="K51" s="15"/>
      <c r="L51" s="14" t="s">
        <v>97</v>
      </c>
      <c r="M51" s="14" t="s">
        <v>73</v>
      </c>
      <c r="N51" s="14" t="s">
        <v>63</v>
      </c>
      <c r="O51" s="14" t="s">
        <v>64</v>
      </c>
      <c r="P51" s="16" t="n">
        <v>0.0435</v>
      </c>
      <c r="Q51" s="17" t="n">
        <v>1750905</v>
      </c>
      <c r="R51" s="18" t="n">
        <f aca="false">IF(Q51&lt;=Parametros!$B$4,Parametros!$B$3,0)</f>
        <v>249095</v>
      </c>
      <c r="S51" s="18" t="n">
        <f aca="false">Q51*Parametros!$B$5</f>
        <v>70036.2</v>
      </c>
      <c r="T51" s="18" t="n">
        <f aca="false">Q51*Parametros!$B$6</f>
        <v>70036.2</v>
      </c>
      <c r="U51" s="18" t="n">
        <f aca="false">(Q51+R51)*Parametros!$B$10</f>
        <v>166666.666666667</v>
      </c>
      <c r="V51" s="18" t="n">
        <f aca="false">U51*Parametros!$B$11</f>
        <v>20000</v>
      </c>
      <c r="W51" s="18" t="n">
        <f aca="false">(Q51+R51)*Parametros!$B$12</f>
        <v>166666.666666667</v>
      </c>
      <c r="X51" s="18" t="n">
        <f aca="false">Q51*Parametros!$B$13</f>
        <v>73012.7385</v>
      </c>
      <c r="Y51" s="18" t="n">
        <f aca="false">Q51*Parametros!$B$7</f>
        <v>148826.925</v>
      </c>
      <c r="Z51" s="18" t="n">
        <f aca="false">Q51*Parametros!$B$8</f>
        <v>210108.6</v>
      </c>
      <c r="AA51" s="18" t="n">
        <f aca="false">Q51*Parametros!$B$9</f>
        <v>70036.2</v>
      </c>
      <c r="AB51" s="18" t="n">
        <f aca="false">Q51*P51</f>
        <v>76164.3675</v>
      </c>
    </row>
    <row r="52" customFormat="false" ht="15" hidden="false" customHeight="false" outlineLevel="0" collapsed="false">
      <c r="A52" s="14" t="s">
        <v>194</v>
      </c>
      <c r="B52" s="14" t="s">
        <v>81</v>
      </c>
      <c r="C52" s="14" t="s">
        <v>142</v>
      </c>
      <c r="D52" s="14" t="s">
        <v>56</v>
      </c>
      <c r="E52" s="15" t="n">
        <v>28584</v>
      </c>
      <c r="F52" s="14" t="s">
        <v>57</v>
      </c>
      <c r="G52" s="14" t="s">
        <v>107</v>
      </c>
      <c r="H52" s="14" t="s">
        <v>108</v>
      </c>
      <c r="I52" s="14" t="s">
        <v>147</v>
      </c>
      <c r="J52" s="15" t="n">
        <v>43497</v>
      </c>
      <c r="K52" s="15"/>
      <c r="L52" s="14" t="s">
        <v>86</v>
      </c>
      <c r="M52" s="14" t="s">
        <v>62</v>
      </c>
      <c r="N52" s="14" t="s">
        <v>63</v>
      </c>
      <c r="O52" s="14" t="s">
        <v>64</v>
      </c>
      <c r="P52" s="16" t="n">
        <v>0.00522</v>
      </c>
      <c r="Q52" s="17" t="n">
        <v>1750905</v>
      </c>
      <c r="R52" s="18" t="n">
        <f aca="false">IF(Q52&lt;=Parametros!$B$4,Parametros!$B$3,0)</f>
        <v>249095</v>
      </c>
      <c r="S52" s="18" t="n">
        <f aca="false">Q52*Parametros!$B$5</f>
        <v>70036.2</v>
      </c>
      <c r="T52" s="18" t="n">
        <f aca="false">Q52*Parametros!$B$6</f>
        <v>70036.2</v>
      </c>
      <c r="U52" s="18" t="n">
        <f aca="false">(Q52+R52)*Parametros!$B$10</f>
        <v>166666.666666667</v>
      </c>
      <c r="V52" s="18" t="n">
        <f aca="false">U52*Parametros!$B$11</f>
        <v>20000</v>
      </c>
      <c r="W52" s="18" t="n">
        <f aca="false">(Q52+R52)*Parametros!$B$12</f>
        <v>166666.666666667</v>
      </c>
      <c r="X52" s="18" t="n">
        <f aca="false">Q52*Parametros!$B$13</f>
        <v>73012.7385</v>
      </c>
      <c r="Y52" s="18" t="n">
        <f aca="false">Q52*Parametros!$B$7</f>
        <v>148826.925</v>
      </c>
      <c r="Z52" s="18" t="n">
        <f aca="false">Q52*Parametros!$B$8</f>
        <v>210108.6</v>
      </c>
      <c r="AA52" s="18" t="n">
        <f aca="false">Q52*Parametros!$B$9</f>
        <v>70036.2</v>
      </c>
      <c r="AB52" s="18" t="n">
        <f aca="false">Q52*P52</f>
        <v>9139.7241</v>
      </c>
    </row>
    <row r="53" customFormat="false" ht="15" hidden="false" customHeight="false" outlineLevel="0" collapsed="false">
      <c r="A53" s="14" t="s">
        <v>195</v>
      </c>
      <c r="B53" s="14" t="s">
        <v>196</v>
      </c>
      <c r="C53" s="14" t="s">
        <v>197</v>
      </c>
      <c r="D53" s="14" t="s">
        <v>56</v>
      </c>
      <c r="E53" s="15" t="n">
        <v>27695</v>
      </c>
      <c r="F53" s="14" t="s">
        <v>57</v>
      </c>
      <c r="G53" s="14" t="s">
        <v>107</v>
      </c>
      <c r="H53" s="14" t="s">
        <v>108</v>
      </c>
      <c r="I53" s="14" t="s">
        <v>68</v>
      </c>
      <c r="J53" s="15" t="n">
        <v>45794</v>
      </c>
      <c r="K53" s="15"/>
      <c r="L53" s="14" t="s">
        <v>97</v>
      </c>
      <c r="M53" s="14" t="s">
        <v>62</v>
      </c>
      <c r="N53" s="14" t="s">
        <v>63</v>
      </c>
      <c r="O53" s="14" t="s">
        <v>64</v>
      </c>
      <c r="P53" s="16" t="n">
        <v>0.00522</v>
      </c>
      <c r="Q53" s="17" t="n">
        <v>1750905</v>
      </c>
      <c r="R53" s="18" t="n">
        <f aca="false">IF(Q53&lt;=Parametros!$B$4,Parametros!$B$3,0)</f>
        <v>249095</v>
      </c>
      <c r="S53" s="18" t="n">
        <f aca="false">Q53*Parametros!$B$5</f>
        <v>70036.2</v>
      </c>
      <c r="T53" s="18" t="n">
        <f aca="false">Q53*Parametros!$B$6</f>
        <v>70036.2</v>
      </c>
      <c r="U53" s="18" t="n">
        <f aca="false">(Q53+R53)*Parametros!$B$10</f>
        <v>166666.666666667</v>
      </c>
      <c r="V53" s="18" t="n">
        <f aca="false">U53*Parametros!$B$11</f>
        <v>20000</v>
      </c>
      <c r="W53" s="18" t="n">
        <f aca="false">(Q53+R53)*Parametros!$B$12</f>
        <v>166666.666666667</v>
      </c>
      <c r="X53" s="18" t="n">
        <f aca="false">Q53*Parametros!$B$13</f>
        <v>73012.7385</v>
      </c>
      <c r="Y53" s="18" t="n">
        <f aca="false">Q53*Parametros!$B$7</f>
        <v>148826.925</v>
      </c>
      <c r="Z53" s="18" t="n">
        <f aca="false">Q53*Parametros!$B$8</f>
        <v>210108.6</v>
      </c>
      <c r="AA53" s="18" t="n">
        <f aca="false">Q53*Parametros!$B$9</f>
        <v>70036.2</v>
      </c>
      <c r="AB53" s="18" t="n">
        <f aca="false">Q53*P53</f>
        <v>9139.7241</v>
      </c>
    </row>
    <row r="54" customFormat="false" ht="15" hidden="false" customHeight="false" outlineLevel="0" collapsed="false">
      <c r="A54" s="14" t="s">
        <v>198</v>
      </c>
      <c r="B54" s="14" t="s">
        <v>199</v>
      </c>
      <c r="C54" s="14" t="s">
        <v>200</v>
      </c>
      <c r="D54" s="14" t="s">
        <v>56</v>
      </c>
      <c r="E54" s="15" t="n">
        <v>30609</v>
      </c>
      <c r="F54" s="14" t="s">
        <v>57</v>
      </c>
      <c r="G54" s="14" t="s">
        <v>107</v>
      </c>
      <c r="H54" s="14" t="s">
        <v>108</v>
      </c>
      <c r="I54" s="14" t="s">
        <v>112</v>
      </c>
      <c r="J54" s="15" t="n">
        <v>44959</v>
      </c>
      <c r="K54" s="15" t="n">
        <v>46054</v>
      </c>
      <c r="L54" s="14" t="s">
        <v>61</v>
      </c>
      <c r="M54" s="14" t="s">
        <v>62</v>
      </c>
      <c r="N54" s="14" t="s">
        <v>63</v>
      </c>
      <c r="O54" s="14" t="s">
        <v>64</v>
      </c>
      <c r="P54" s="16" t="n">
        <v>0.0696</v>
      </c>
      <c r="Q54" s="17" t="n">
        <v>1900000</v>
      </c>
      <c r="R54" s="18" t="n">
        <f aca="false">IF(Q54&lt;=Parametros!$B$4,Parametros!$B$3,0)</f>
        <v>249095</v>
      </c>
      <c r="S54" s="18" t="n">
        <f aca="false">Q54*Parametros!$B$5</f>
        <v>76000</v>
      </c>
      <c r="T54" s="18" t="n">
        <f aca="false">Q54*Parametros!$B$6</f>
        <v>76000</v>
      </c>
      <c r="U54" s="18" t="n">
        <f aca="false">(Q54+R54)*Parametros!$B$10</f>
        <v>179091.25</v>
      </c>
      <c r="V54" s="18" t="n">
        <f aca="false">U54*Parametros!$B$11</f>
        <v>21490.95</v>
      </c>
      <c r="W54" s="18" t="n">
        <f aca="false">(Q54+R54)*Parametros!$B$12</f>
        <v>179091.25</v>
      </c>
      <c r="X54" s="18" t="n">
        <f aca="false">Q54*Parametros!$B$13</f>
        <v>79230</v>
      </c>
      <c r="Y54" s="18" t="n">
        <f aca="false">Q54*Parametros!$B$7</f>
        <v>161500</v>
      </c>
      <c r="Z54" s="18" t="n">
        <f aca="false">Q54*Parametros!$B$8</f>
        <v>228000</v>
      </c>
      <c r="AA54" s="18" t="n">
        <f aca="false">Q54*Parametros!$B$9</f>
        <v>76000</v>
      </c>
      <c r="AB54" s="18" t="n">
        <f aca="false">Q54*P54</f>
        <v>132240</v>
      </c>
    </row>
    <row r="55" customFormat="false" ht="15" hidden="false" customHeight="false" outlineLevel="0" collapsed="false">
      <c r="A55" s="14" t="s">
        <v>201</v>
      </c>
      <c r="B55" s="14" t="s">
        <v>81</v>
      </c>
      <c r="C55" s="14" t="s">
        <v>96</v>
      </c>
      <c r="D55" s="14" t="s">
        <v>56</v>
      </c>
      <c r="E55" s="15" t="n">
        <v>32446</v>
      </c>
      <c r="F55" s="14" t="s">
        <v>57</v>
      </c>
      <c r="G55" s="14" t="s">
        <v>58</v>
      </c>
      <c r="H55" s="14" t="s">
        <v>59</v>
      </c>
      <c r="I55" s="14" t="s">
        <v>152</v>
      </c>
      <c r="J55" s="15" t="n">
        <v>45352</v>
      </c>
      <c r="K55" s="15"/>
      <c r="L55" s="14" t="s">
        <v>97</v>
      </c>
      <c r="M55" s="14" t="s">
        <v>98</v>
      </c>
      <c r="N55" s="14" t="s">
        <v>63</v>
      </c>
      <c r="O55" s="14" t="s">
        <v>64</v>
      </c>
      <c r="P55" s="16" t="n">
        <v>0.00522</v>
      </c>
      <c r="Q55" s="17" t="n">
        <v>1750905</v>
      </c>
      <c r="R55" s="18" t="n">
        <f aca="false">IF(Q55&lt;=Parametros!$B$4,Parametros!$B$3,0)</f>
        <v>249095</v>
      </c>
      <c r="S55" s="18" t="n">
        <f aca="false">Q55*Parametros!$B$5</f>
        <v>70036.2</v>
      </c>
      <c r="T55" s="18" t="n">
        <f aca="false">Q55*Parametros!$B$6</f>
        <v>70036.2</v>
      </c>
      <c r="U55" s="18" t="n">
        <f aca="false">(Q55+R55)*Parametros!$B$10</f>
        <v>166666.666666667</v>
      </c>
      <c r="V55" s="18" t="n">
        <f aca="false">U55*Parametros!$B$11</f>
        <v>20000</v>
      </c>
      <c r="W55" s="18" t="n">
        <f aca="false">(Q55+R55)*Parametros!$B$12</f>
        <v>166666.666666667</v>
      </c>
      <c r="X55" s="18" t="n">
        <f aca="false">Q55*Parametros!$B$13</f>
        <v>73012.7385</v>
      </c>
      <c r="Y55" s="18" t="n">
        <f aca="false">Q55*Parametros!$B$7</f>
        <v>148826.925</v>
      </c>
      <c r="Z55" s="18" t="n">
        <f aca="false">Q55*Parametros!$B$8</f>
        <v>210108.6</v>
      </c>
      <c r="AA55" s="18" t="n">
        <f aca="false">Q55*Parametros!$B$9</f>
        <v>70036.2</v>
      </c>
      <c r="AB55" s="18" t="n">
        <f aca="false">Q55*P55</f>
        <v>9139.7241</v>
      </c>
    </row>
    <row r="56" customFormat="false" ht="15" hidden="false" customHeight="false" outlineLevel="0" collapsed="false">
      <c r="A56" s="14" t="s">
        <v>202</v>
      </c>
      <c r="B56" s="14" t="s">
        <v>182</v>
      </c>
      <c r="C56" s="14" t="s">
        <v>103</v>
      </c>
      <c r="D56" s="14" t="s">
        <v>56</v>
      </c>
      <c r="E56" s="15" t="n">
        <v>29479</v>
      </c>
      <c r="F56" s="14" t="s">
        <v>57</v>
      </c>
      <c r="G56" s="14" t="s">
        <v>58</v>
      </c>
      <c r="H56" s="14" t="s">
        <v>59</v>
      </c>
      <c r="I56" s="14" t="s">
        <v>171</v>
      </c>
      <c r="J56" s="15" t="n">
        <v>44380</v>
      </c>
      <c r="K56" s="15"/>
      <c r="L56" s="14" t="s">
        <v>78</v>
      </c>
      <c r="M56" s="14" t="s">
        <v>62</v>
      </c>
      <c r="N56" s="14" t="s">
        <v>63</v>
      </c>
      <c r="O56" s="14" t="s">
        <v>64</v>
      </c>
      <c r="P56" s="16" t="n">
        <v>0.00522</v>
      </c>
      <c r="Q56" s="17" t="n">
        <v>1750905</v>
      </c>
      <c r="R56" s="18" t="n">
        <f aca="false">IF(Q56&lt;=Parametros!$B$4,Parametros!$B$3,0)</f>
        <v>249095</v>
      </c>
      <c r="S56" s="18" t="n">
        <f aca="false">Q56*Parametros!$B$5</f>
        <v>70036.2</v>
      </c>
      <c r="T56" s="18" t="n">
        <f aca="false">Q56*Parametros!$B$6</f>
        <v>70036.2</v>
      </c>
      <c r="U56" s="18" t="n">
        <f aca="false">(Q56+R56)*Parametros!$B$10</f>
        <v>166666.666666667</v>
      </c>
      <c r="V56" s="18" t="n">
        <f aca="false">U56*Parametros!$B$11</f>
        <v>20000</v>
      </c>
      <c r="W56" s="18" t="n">
        <f aca="false">(Q56+R56)*Parametros!$B$12</f>
        <v>166666.666666667</v>
      </c>
      <c r="X56" s="18" t="n">
        <f aca="false">Q56*Parametros!$B$13</f>
        <v>73012.7385</v>
      </c>
      <c r="Y56" s="18" t="n">
        <f aca="false">Q56*Parametros!$B$7</f>
        <v>148826.925</v>
      </c>
      <c r="Z56" s="18" t="n">
        <f aca="false">Q56*Parametros!$B$8</f>
        <v>210108.6</v>
      </c>
      <c r="AA56" s="18" t="n">
        <f aca="false">Q56*Parametros!$B$9</f>
        <v>70036.2</v>
      </c>
      <c r="AB56" s="18" t="n">
        <f aca="false">Q56*P56</f>
        <v>9139.7241</v>
      </c>
    </row>
    <row r="57" customFormat="false" ht="15" hidden="false" customHeight="false" outlineLevel="0" collapsed="false">
      <c r="A57" s="14" t="s">
        <v>203</v>
      </c>
      <c r="B57" s="14" t="s">
        <v>204</v>
      </c>
      <c r="C57" s="14" t="s">
        <v>103</v>
      </c>
      <c r="D57" s="14" t="s">
        <v>56</v>
      </c>
      <c r="E57" s="15" t="n">
        <v>30423</v>
      </c>
      <c r="F57" s="14" t="s">
        <v>57</v>
      </c>
      <c r="G57" s="14" t="s">
        <v>58</v>
      </c>
      <c r="H57" s="14" t="s">
        <v>59</v>
      </c>
      <c r="I57" s="14" t="s">
        <v>128</v>
      </c>
      <c r="J57" s="15" t="n">
        <v>45323</v>
      </c>
      <c r="K57" s="15"/>
      <c r="L57" s="14" t="s">
        <v>61</v>
      </c>
      <c r="M57" s="14" t="s">
        <v>62</v>
      </c>
      <c r="N57" s="14" t="s">
        <v>63</v>
      </c>
      <c r="O57" s="14" t="s">
        <v>64</v>
      </c>
      <c r="P57" s="16" t="n">
        <v>0.00522</v>
      </c>
      <c r="Q57" s="17" t="n">
        <v>1750905</v>
      </c>
      <c r="R57" s="18" t="n">
        <f aca="false">IF(Q57&lt;=Parametros!$B$4,Parametros!$B$3,0)</f>
        <v>249095</v>
      </c>
      <c r="S57" s="18" t="n">
        <f aca="false">Q57*Parametros!$B$5</f>
        <v>70036.2</v>
      </c>
      <c r="T57" s="18" t="n">
        <f aca="false">Q57*Parametros!$B$6</f>
        <v>70036.2</v>
      </c>
      <c r="U57" s="18" t="n">
        <f aca="false">(Q57+R57)*Parametros!$B$10</f>
        <v>166666.666666667</v>
      </c>
      <c r="V57" s="18" t="n">
        <f aca="false">U57*Parametros!$B$11</f>
        <v>20000</v>
      </c>
      <c r="W57" s="18" t="n">
        <f aca="false">(Q57+R57)*Parametros!$B$12</f>
        <v>166666.666666667</v>
      </c>
      <c r="X57" s="18" t="n">
        <f aca="false">Q57*Parametros!$B$13</f>
        <v>73012.7385</v>
      </c>
      <c r="Y57" s="18" t="n">
        <f aca="false">Q57*Parametros!$B$7</f>
        <v>148826.925</v>
      </c>
      <c r="Z57" s="18" t="n">
        <f aca="false">Q57*Parametros!$B$8</f>
        <v>210108.6</v>
      </c>
      <c r="AA57" s="18" t="n">
        <f aca="false">Q57*Parametros!$B$9</f>
        <v>70036.2</v>
      </c>
      <c r="AB57" s="18" t="n">
        <f aca="false">Q57*P57</f>
        <v>9139.7241</v>
      </c>
    </row>
    <row r="58" customFormat="false" ht="15" hidden="false" customHeight="false" outlineLevel="0" collapsed="false">
      <c r="A58" s="14" t="s">
        <v>205</v>
      </c>
      <c r="B58" s="14" t="s">
        <v>206</v>
      </c>
      <c r="C58" s="14" t="s">
        <v>151</v>
      </c>
      <c r="D58" s="14" t="s">
        <v>56</v>
      </c>
      <c r="E58" s="15" t="n">
        <v>26456</v>
      </c>
      <c r="F58" s="14" t="s">
        <v>57</v>
      </c>
      <c r="G58" s="14" t="s">
        <v>58</v>
      </c>
      <c r="H58" s="14" t="s">
        <v>59</v>
      </c>
      <c r="I58" s="14" t="s">
        <v>207</v>
      </c>
      <c r="J58" s="15" t="n">
        <v>44623</v>
      </c>
      <c r="K58" s="15"/>
      <c r="L58" s="14" t="s">
        <v>78</v>
      </c>
      <c r="M58" s="14" t="s">
        <v>79</v>
      </c>
      <c r="N58" s="14" t="s">
        <v>63</v>
      </c>
      <c r="O58" s="14" t="s">
        <v>64</v>
      </c>
      <c r="P58" s="16" t="n">
        <v>0.00522</v>
      </c>
      <c r="Q58" s="17" t="n">
        <v>6500000</v>
      </c>
      <c r="R58" s="18" t="n">
        <f aca="false">IF(Q58&lt;=Parametros!$B$4,Parametros!$B$3,0)</f>
        <v>0</v>
      </c>
      <c r="S58" s="18" t="n">
        <f aca="false">Q58*Parametros!$B$5</f>
        <v>260000</v>
      </c>
      <c r="T58" s="18" t="n">
        <f aca="false">Q58*Parametros!$B$6</f>
        <v>260000</v>
      </c>
      <c r="U58" s="18" t="n">
        <f aca="false">(Q58+R58)*Parametros!$B$10</f>
        <v>541666.666666667</v>
      </c>
      <c r="V58" s="18" t="n">
        <f aca="false">U58*Parametros!$B$11</f>
        <v>65000</v>
      </c>
      <c r="W58" s="18" t="n">
        <f aca="false">(Q58+R58)*Parametros!$B$12</f>
        <v>541666.666666667</v>
      </c>
      <c r="X58" s="18" t="n">
        <f aca="false">Q58*Parametros!$B$13</f>
        <v>271050</v>
      </c>
      <c r="Y58" s="18" t="n">
        <f aca="false">Q58*Parametros!$B$7</f>
        <v>552500</v>
      </c>
      <c r="Z58" s="18" t="n">
        <f aca="false">Q58*Parametros!$B$8</f>
        <v>780000</v>
      </c>
      <c r="AA58" s="18" t="n">
        <f aca="false">Q58*Parametros!$B$9</f>
        <v>260000</v>
      </c>
      <c r="AB58" s="18" t="n">
        <f aca="false">Q58*P58</f>
        <v>33930</v>
      </c>
    </row>
    <row r="59" customFormat="false" ht="15" hidden="false" customHeight="false" outlineLevel="0" collapsed="false">
      <c r="A59" s="14" t="s">
        <v>208</v>
      </c>
      <c r="B59" s="14" t="s">
        <v>54</v>
      </c>
      <c r="C59" s="14" t="s">
        <v>117</v>
      </c>
      <c r="D59" s="14" t="s">
        <v>56</v>
      </c>
      <c r="E59" s="15" t="n">
        <v>28481</v>
      </c>
      <c r="F59" s="14" t="s">
        <v>57</v>
      </c>
      <c r="G59" s="14" t="s">
        <v>58</v>
      </c>
      <c r="H59" s="14" t="s">
        <v>59</v>
      </c>
      <c r="I59" s="14" t="s">
        <v>93</v>
      </c>
      <c r="J59" s="15" t="n">
        <v>45383</v>
      </c>
      <c r="K59" s="15"/>
      <c r="L59" s="14" t="s">
        <v>97</v>
      </c>
      <c r="M59" s="14" t="s">
        <v>79</v>
      </c>
      <c r="N59" s="14" t="s">
        <v>63</v>
      </c>
      <c r="O59" s="14" t="s">
        <v>64</v>
      </c>
      <c r="P59" s="16" t="n">
        <v>0.00522</v>
      </c>
      <c r="Q59" s="17" t="n">
        <v>2000000</v>
      </c>
      <c r="R59" s="18" t="n">
        <f aca="false">IF(Q59&lt;=Parametros!$B$4,Parametros!$B$3,0)</f>
        <v>249095</v>
      </c>
      <c r="S59" s="18" t="n">
        <f aca="false">Q59*Parametros!$B$5</f>
        <v>80000</v>
      </c>
      <c r="T59" s="18" t="n">
        <f aca="false">Q59*Parametros!$B$6</f>
        <v>80000</v>
      </c>
      <c r="U59" s="18" t="n">
        <f aca="false">(Q59+R59)*Parametros!$B$10</f>
        <v>187424.583333333</v>
      </c>
      <c r="V59" s="18" t="n">
        <f aca="false">U59*Parametros!$B$11</f>
        <v>22490.95</v>
      </c>
      <c r="W59" s="18" t="n">
        <f aca="false">(Q59+R59)*Parametros!$B$12</f>
        <v>187424.583333333</v>
      </c>
      <c r="X59" s="18" t="n">
        <f aca="false">Q59*Parametros!$B$13</f>
        <v>83400</v>
      </c>
      <c r="Y59" s="18" t="n">
        <f aca="false">Q59*Parametros!$B$7</f>
        <v>170000</v>
      </c>
      <c r="Z59" s="18" t="n">
        <f aca="false">Q59*Parametros!$B$8</f>
        <v>240000</v>
      </c>
      <c r="AA59" s="18" t="n">
        <f aca="false">Q59*Parametros!$B$9</f>
        <v>80000</v>
      </c>
      <c r="AB59" s="18" t="n">
        <f aca="false">Q59*P59</f>
        <v>10440</v>
      </c>
    </row>
    <row r="60" customFormat="false" ht="15" hidden="false" customHeight="false" outlineLevel="0" collapsed="false">
      <c r="A60" s="14" t="s">
        <v>209</v>
      </c>
      <c r="B60" s="14" t="s">
        <v>100</v>
      </c>
      <c r="C60" s="14" t="s">
        <v>101</v>
      </c>
      <c r="D60" s="14" t="s">
        <v>77</v>
      </c>
      <c r="E60" s="15" t="n">
        <v>33410</v>
      </c>
      <c r="F60" s="14" t="s">
        <v>57</v>
      </c>
      <c r="G60" s="14" t="s">
        <v>58</v>
      </c>
      <c r="H60" s="14" t="s">
        <v>59</v>
      </c>
      <c r="I60" s="14" t="s">
        <v>112</v>
      </c>
      <c r="J60" s="15" t="n">
        <v>45536</v>
      </c>
      <c r="K60" s="15"/>
      <c r="L60" s="14" t="s">
        <v>97</v>
      </c>
      <c r="M60" s="14" t="s">
        <v>79</v>
      </c>
      <c r="N60" s="14" t="s">
        <v>63</v>
      </c>
      <c r="O60" s="14" t="s">
        <v>64</v>
      </c>
      <c r="P60" s="16" t="n">
        <v>0.0696</v>
      </c>
      <c r="Q60" s="17" t="n">
        <v>1900000</v>
      </c>
      <c r="R60" s="18" t="n">
        <f aca="false">IF(Q60&lt;=Parametros!$B$4,Parametros!$B$3,0)</f>
        <v>249095</v>
      </c>
      <c r="S60" s="18" t="n">
        <f aca="false">Q60*Parametros!$B$5</f>
        <v>76000</v>
      </c>
      <c r="T60" s="18" t="n">
        <f aca="false">Q60*Parametros!$B$6</f>
        <v>76000</v>
      </c>
      <c r="U60" s="18" t="n">
        <f aca="false">(Q60+R60)*Parametros!$B$10</f>
        <v>179091.25</v>
      </c>
      <c r="V60" s="18" t="n">
        <f aca="false">U60*Parametros!$B$11</f>
        <v>21490.95</v>
      </c>
      <c r="W60" s="18" t="n">
        <f aca="false">(Q60+R60)*Parametros!$B$12</f>
        <v>179091.25</v>
      </c>
      <c r="X60" s="18" t="n">
        <f aca="false">Q60*Parametros!$B$13</f>
        <v>79230</v>
      </c>
      <c r="Y60" s="18" t="n">
        <f aca="false">Q60*Parametros!$B$7</f>
        <v>161500</v>
      </c>
      <c r="Z60" s="18" t="n">
        <f aca="false">Q60*Parametros!$B$8</f>
        <v>228000</v>
      </c>
      <c r="AA60" s="18" t="n">
        <f aca="false">Q60*Parametros!$B$9</f>
        <v>76000</v>
      </c>
      <c r="AB60" s="18" t="n">
        <f aca="false">Q60*P60</f>
        <v>132240</v>
      </c>
    </row>
    <row r="61" customFormat="false" ht="15" hidden="false" customHeight="false" outlineLevel="0" collapsed="false">
      <c r="A61" s="14" t="s">
        <v>210</v>
      </c>
      <c r="B61" s="14" t="s">
        <v>95</v>
      </c>
      <c r="C61" s="14" t="s">
        <v>187</v>
      </c>
      <c r="D61" s="14" t="s">
        <v>77</v>
      </c>
      <c r="E61" s="15" t="n">
        <v>32337</v>
      </c>
      <c r="F61" s="14" t="s">
        <v>57</v>
      </c>
      <c r="G61" s="14" t="s">
        <v>107</v>
      </c>
      <c r="H61" s="14" t="s">
        <v>108</v>
      </c>
      <c r="I61" s="14" t="s">
        <v>60</v>
      </c>
      <c r="J61" s="15" t="n">
        <v>45383</v>
      </c>
      <c r="K61" s="15"/>
      <c r="L61" s="14" t="s">
        <v>61</v>
      </c>
      <c r="M61" s="14" t="s">
        <v>62</v>
      </c>
      <c r="N61" s="14" t="s">
        <v>63</v>
      </c>
      <c r="O61" s="14" t="s">
        <v>64</v>
      </c>
      <c r="P61" s="16" t="n">
        <v>0.0435</v>
      </c>
      <c r="Q61" s="17" t="n">
        <v>1750905</v>
      </c>
      <c r="R61" s="18" t="n">
        <f aca="false">IF(Q61&lt;=Parametros!$B$4,Parametros!$B$3,0)</f>
        <v>249095</v>
      </c>
      <c r="S61" s="18" t="n">
        <f aca="false">Q61*Parametros!$B$5</f>
        <v>70036.2</v>
      </c>
      <c r="T61" s="18" t="n">
        <f aca="false">Q61*Parametros!$B$6</f>
        <v>70036.2</v>
      </c>
      <c r="U61" s="18" t="n">
        <f aca="false">(Q61+R61)*Parametros!$B$10</f>
        <v>166666.666666667</v>
      </c>
      <c r="V61" s="18" t="n">
        <f aca="false">U61*Parametros!$B$11</f>
        <v>20000</v>
      </c>
      <c r="W61" s="18" t="n">
        <f aca="false">(Q61+R61)*Parametros!$B$12</f>
        <v>166666.666666667</v>
      </c>
      <c r="X61" s="18" t="n">
        <f aca="false">Q61*Parametros!$B$13</f>
        <v>73012.7385</v>
      </c>
      <c r="Y61" s="18" t="n">
        <f aca="false">Q61*Parametros!$B$7</f>
        <v>148826.925</v>
      </c>
      <c r="Z61" s="18" t="n">
        <f aca="false">Q61*Parametros!$B$8</f>
        <v>210108.6</v>
      </c>
      <c r="AA61" s="18" t="n">
        <f aca="false">Q61*Parametros!$B$9</f>
        <v>70036.2</v>
      </c>
      <c r="AB61" s="18" t="n">
        <f aca="false">Q61*P61</f>
        <v>76164.3675</v>
      </c>
    </row>
    <row r="62" customFormat="false" ht="15" hidden="false" customHeight="false" outlineLevel="0" collapsed="false">
      <c r="A62" s="14" t="s">
        <v>211</v>
      </c>
      <c r="B62" s="14" t="s">
        <v>212</v>
      </c>
      <c r="C62" s="14" t="s">
        <v>136</v>
      </c>
      <c r="D62" s="14" t="s">
        <v>77</v>
      </c>
      <c r="E62" s="15" t="n">
        <v>25707</v>
      </c>
      <c r="F62" s="14" t="s">
        <v>57</v>
      </c>
      <c r="G62" s="14" t="s">
        <v>58</v>
      </c>
      <c r="H62" s="14" t="s">
        <v>59</v>
      </c>
      <c r="I62" s="14" t="s">
        <v>112</v>
      </c>
      <c r="J62" s="15" t="n">
        <v>45962</v>
      </c>
      <c r="K62" s="15"/>
      <c r="L62" s="14" t="s">
        <v>97</v>
      </c>
      <c r="M62" s="14" t="s">
        <v>62</v>
      </c>
      <c r="N62" s="14" t="s">
        <v>63</v>
      </c>
      <c r="O62" s="14" t="s">
        <v>64</v>
      </c>
      <c r="P62" s="16" t="n">
        <v>0.0696</v>
      </c>
      <c r="Q62" s="17" t="n">
        <v>1900000</v>
      </c>
      <c r="R62" s="18" t="n">
        <f aca="false">IF(Q62&lt;=Parametros!$B$4,Parametros!$B$3,0)</f>
        <v>249095</v>
      </c>
      <c r="S62" s="18" t="n">
        <f aca="false">Q62*Parametros!$B$5</f>
        <v>76000</v>
      </c>
      <c r="T62" s="18" t="n">
        <f aca="false">Q62*Parametros!$B$6</f>
        <v>76000</v>
      </c>
      <c r="U62" s="18" t="n">
        <f aca="false">(Q62+R62)*Parametros!$B$10</f>
        <v>179091.25</v>
      </c>
      <c r="V62" s="18" t="n">
        <f aca="false">U62*Parametros!$B$11</f>
        <v>21490.95</v>
      </c>
      <c r="W62" s="18" t="n">
        <f aca="false">(Q62+R62)*Parametros!$B$12</f>
        <v>179091.25</v>
      </c>
      <c r="X62" s="18" t="n">
        <f aca="false">Q62*Parametros!$B$13</f>
        <v>79230</v>
      </c>
      <c r="Y62" s="18" t="n">
        <f aca="false">Q62*Parametros!$B$7</f>
        <v>161500</v>
      </c>
      <c r="Z62" s="18" t="n">
        <f aca="false">Q62*Parametros!$B$8</f>
        <v>228000</v>
      </c>
      <c r="AA62" s="18" t="n">
        <f aca="false">Q62*Parametros!$B$9</f>
        <v>76000</v>
      </c>
      <c r="AB62" s="18" t="n">
        <f aca="false">Q62*P62</f>
        <v>132240</v>
      </c>
    </row>
    <row r="63" customFormat="false" ht="15" hidden="false" customHeight="false" outlineLevel="0" collapsed="false">
      <c r="A63" s="14" t="s">
        <v>213</v>
      </c>
      <c r="B63" s="14" t="s">
        <v>214</v>
      </c>
      <c r="C63" s="14" t="s">
        <v>215</v>
      </c>
      <c r="D63" s="14" t="s">
        <v>56</v>
      </c>
      <c r="E63" s="15" t="n">
        <v>31416</v>
      </c>
      <c r="F63" s="14" t="s">
        <v>57</v>
      </c>
      <c r="G63" s="14" t="s">
        <v>58</v>
      </c>
      <c r="H63" s="14" t="s">
        <v>59</v>
      </c>
      <c r="I63" s="14" t="s">
        <v>128</v>
      </c>
      <c r="J63" s="15" t="n">
        <v>44805</v>
      </c>
      <c r="K63" s="15"/>
      <c r="L63" s="14" t="s">
        <v>72</v>
      </c>
      <c r="M63" s="14" t="s">
        <v>62</v>
      </c>
      <c r="N63" s="14" t="s">
        <v>63</v>
      </c>
      <c r="O63" s="14" t="s">
        <v>64</v>
      </c>
      <c r="P63" s="16" t="n">
        <v>0.00522</v>
      </c>
      <c r="Q63" s="17" t="n">
        <v>1750905</v>
      </c>
      <c r="R63" s="18" t="n">
        <f aca="false">IF(Q63&lt;=Parametros!$B$4,Parametros!$B$3,0)</f>
        <v>249095</v>
      </c>
      <c r="S63" s="18" t="n">
        <f aca="false">Q63*Parametros!$B$5</f>
        <v>70036.2</v>
      </c>
      <c r="T63" s="18" t="n">
        <f aca="false">Q63*Parametros!$B$6</f>
        <v>70036.2</v>
      </c>
      <c r="U63" s="18" t="n">
        <f aca="false">(Q63+R63)*Parametros!$B$10</f>
        <v>166666.666666667</v>
      </c>
      <c r="V63" s="18" t="n">
        <f aca="false">U63*Parametros!$B$11</f>
        <v>20000</v>
      </c>
      <c r="W63" s="18" t="n">
        <f aca="false">(Q63+R63)*Parametros!$B$12</f>
        <v>166666.666666667</v>
      </c>
      <c r="X63" s="18" t="n">
        <f aca="false">Q63*Parametros!$B$13</f>
        <v>73012.7385</v>
      </c>
      <c r="Y63" s="18" t="n">
        <f aca="false">Q63*Parametros!$B$7</f>
        <v>148826.925</v>
      </c>
      <c r="Z63" s="18" t="n">
        <f aca="false">Q63*Parametros!$B$8</f>
        <v>210108.6</v>
      </c>
      <c r="AA63" s="18" t="n">
        <f aca="false">Q63*Parametros!$B$9</f>
        <v>70036.2</v>
      </c>
      <c r="AB63" s="18" t="n">
        <f aca="false">Q63*P63</f>
        <v>9139.7241</v>
      </c>
    </row>
    <row r="64" customFormat="false" ht="15" hidden="false" customHeight="false" outlineLevel="0" collapsed="false">
      <c r="A64" s="14" t="s">
        <v>216</v>
      </c>
      <c r="B64" s="14" t="s">
        <v>217</v>
      </c>
      <c r="C64" s="14" t="s">
        <v>134</v>
      </c>
      <c r="D64" s="14" t="s">
        <v>77</v>
      </c>
      <c r="E64" s="15" t="n">
        <v>28219</v>
      </c>
      <c r="F64" s="14" t="s">
        <v>57</v>
      </c>
      <c r="G64" s="14" t="s">
        <v>58</v>
      </c>
      <c r="H64" s="14" t="s">
        <v>59</v>
      </c>
      <c r="I64" s="14" t="s">
        <v>93</v>
      </c>
      <c r="J64" s="15" t="n">
        <v>46054</v>
      </c>
      <c r="K64" s="15"/>
      <c r="L64" s="14" t="s">
        <v>78</v>
      </c>
      <c r="M64" s="14" t="s">
        <v>79</v>
      </c>
      <c r="N64" s="14" t="s">
        <v>63</v>
      </c>
      <c r="O64" s="14" t="s">
        <v>83</v>
      </c>
      <c r="P64" s="16" t="n">
        <v>0.00522</v>
      </c>
      <c r="Q64" s="17" t="n">
        <v>2000000</v>
      </c>
      <c r="R64" s="18" t="n">
        <f aca="false">IF(Q64&lt;=Parametros!$B$4,Parametros!$B$3,0)</f>
        <v>249095</v>
      </c>
      <c r="S64" s="18" t="n">
        <f aca="false">Q64*Parametros!$B$5</f>
        <v>80000</v>
      </c>
      <c r="T64" s="18" t="n">
        <f aca="false">Q64*Parametros!$B$6</f>
        <v>80000</v>
      </c>
      <c r="U64" s="18" t="n">
        <f aca="false">(Q64+R64)*Parametros!$B$10</f>
        <v>187424.583333333</v>
      </c>
      <c r="V64" s="18" t="n">
        <f aca="false">U64*Parametros!$B$11</f>
        <v>22490.95</v>
      </c>
      <c r="W64" s="18" t="n">
        <f aca="false">(Q64+R64)*Parametros!$B$12</f>
        <v>187424.583333333</v>
      </c>
      <c r="X64" s="18" t="n">
        <f aca="false">Q64*Parametros!$B$13</f>
        <v>83400</v>
      </c>
      <c r="Y64" s="18" t="n">
        <f aca="false">Q64*Parametros!$B$7</f>
        <v>170000</v>
      </c>
      <c r="Z64" s="18" t="n">
        <f aca="false">Q64*Parametros!$B$8</f>
        <v>240000</v>
      </c>
      <c r="AA64" s="18" t="n">
        <f aca="false">Q64*Parametros!$B$9</f>
        <v>80000</v>
      </c>
      <c r="AB64" s="18" t="n">
        <f aca="false">Q64*P64</f>
        <v>10440</v>
      </c>
    </row>
    <row r="65" customFormat="false" ht="15" hidden="false" customHeight="false" outlineLevel="0" collapsed="false">
      <c r="A65" s="14" t="s">
        <v>218</v>
      </c>
      <c r="B65" s="14" t="s">
        <v>182</v>
      </c>
      <c r="C65" s="14" t="s">
        <v>159</v>
      </c>
      <c r="D65" s="14" t="s">
        <v>77</v>
      </c>
      <c r="E65" s="15" t="n">
        <v>35172</v>
      </c>
      <c r="F65" s="14" t="s">
        <v>57</v>
      </c>
      <c r="G65" s="14" t="s">
        <v>107</v>
      </c>
      <c r="H65" s="14" t="s">
        <v>108</v>
      </c>
      <c r="I65" s="14" t="s">
        <v>219</v>
      </c>
      <c r="J65" s="15" t="n">
        <v>46125</v>
      </c>
      <c r="K65" s="15"/>
      <c r="L65" s="14" t="s">
        <v>86</v>
      </c>
      <c r="M65" s="14" t="s">
        <v>62</v>
      </c>
      <c r="N65" s="14" t="s">
        <v>63</v>
      </c>
      <c r="O65" s="14" t="s">
        <v>64</v>
      </c>
      <c r="P65" s="16" t="n">
        <v>0.0435</v>
      </c>
      <c r="Q65" s="17" t="n">
        <v>3200000</v>
      </c>
      <c r="R65" s="18" t="n">
        <f aca="false">IF(Q65&lt;=Parametros!$B$4,Parametros!$B$3,0)</f>
        <v>249095</v>
      </c>
      <c r="S65" s="18" t="n">
        <f aca="false">Q65*Parametros!$B$5</f>
        <v>128000</v>
      </c>
      <c r="T65" s="18" t="n">
        <f aca="false">Q65*Parametros!$B$6</f>
        <v>128000</v>
      </c>
      <c r="U65" s="18" t="n">
        <f aca="false">(Q65+R65)*Parametros!$B$10</f>
        <v>287424.583333333</v>
      </c>
      <c r="V65" s="18" t="n">
        <f aca="false">U65*Parametros!$B$11</f>
        <v>34490.95</v>
      </c>
      <c r="W65" s="18" t="n">
        <f aca="false">(Q65+R65)*Parametros!$B$12</f>
        <v>287424.583333333</v>
      </c>
      <c r="X65" s="18" t="n">
        <f aca="false">Q65*Parametros!$B$13</f>
        <v>133440</v>
      </c>
      <c r="Y65" s="18" t="n">
        <f aca="false">Q65*Parametros!$B$7</f>
        <v>272000</v>
      </c>
      <c r="Z65" s="18" t="n">
        <f aca="false">Q65*Parametros!$B$8</f>
        <v>384000</v>
      </c>
      <c r="AA65" s="18" t="n">
        <f aca="false">Q65*Parametros!$B$9</f>
        <v>128000</v>
      </c>
      <c r="AB65" s="18" t="n">
        <f aca="false">Q65*P65</f>
        <v>139200</v>
      </c>
    </row>
    <row r="66" customFormat="false" ht="15" hidden="false" customHeight="false" outlineLevel="0" collapsed="false">
      <c r="A66" s="14" t="s">
        <v>220</v>
      </c>
      <c r="B66" s="14" t="s">
        <v>196</v>
      </c>
      <c r="C66" s="14" t="s">
        <v>82</v>
      </c>
      <c r="D66" s="14" t="s">
        <v>77</v>
      </c>
      <c r="E66" s="15" t="n">
        <v>30722</v>
      </c>
      <c r="F66" s="14" t="s">
        <v>57</v>
      </c>
      <c r="G66" s="14" t="s">
        <v>58</v>
      </c>
      <c r="H66" s="14" t="s">
        <v>59</v>
      </c>
      <c r="I66" s="14" t="s">
        <v>128</v>
      </c>
      <c r="J66" s="15" t="n">
        <v>44718</v>
      </c>
      <c r="K66" s="15"/>
      <c r="L66" s="14" t="s">
        <v>61</v>
      </c>
      <c r="M66" s="14" t="s">
        <v>62</v>
      </c>
      <c r="N66" s="14" t="s">
        <v>63</v>
      </c>
      <c r="O66" s="14" t="s">
        <v>64</v>
      </c>
      <c r="P66" s="16" t="n">
        <v>0.00522</v>
      </c>
      <c r="Q66" s="17" t="n">
        <v>1750905</v>
      </c>
      <c r="R66" s="18" t="n">
        <f aca="false">IF(Q66&lt;=Parametros!$B$4,Parametros!$B$3,0)</f>
        <v>249095</v>
      </c>
      <c r="S66" s="18" t="n">
        <f aca="false">Q66*Parametros!$B$5</f>
        <v>70036.2</v>
      </c>
      <c r="T66" s="18" t="n">
        <f aca="false">Q66*Parametros!$B$6</f>
        <v>70036.2</v>
      </c>
      <c r="U66" s="18" t="n">
        <f aca="false">(Q66+R66)*Parametros!$B$10</f>
        <v>166666.666666667</v>
      </c>
      <c r="V66" s="18" t="n">
        <f aca="false">U66*Parametros!$B$11</f>
        <v>20000</v>
      </c>
      <c r="W66" s="18" t="n">
        <f aca="false">(Q66+R66)*Parametros!$B$12</f>
        <v>166666.666666667</v>
      </c>
      <c r="X66" s="18" t="n">
        <f aca="false">Q66*Parametros!$B$13</f>
        <v>73012.7385</v>
      </c>
      <c r="Y66" s="18" t="n">
        <f aca="false">Q66*Parametros!$B$7</f>
        <v>148826.925</v>
      </c>
      <c r="Z66" s="18" t="n">
        <f aca="false">Q66*Parametros!$B$8</f>
        <v>210108.6</v>
      </c>
      <c r="AA66" s="18" t="n">
        <f aca="false">Q66*Parametros!$B$9</f>
        <v>70036.2</v>
      </c>
      <c r="AB66" s="18" t="n">
        <f aca="false">Q66*P66</f>
        <v>9139.7241</v>
      </c>
    </row>
    <row r="67" customFormat="false" ht="15" hidden="false" customHeight="false" outlineLevel="0" collapsed="false">
      <c r="A67" s="14" t="s">
        <v>221</v>
      </c>
      <c r="B67" s="14" t="s">
        <v>145</v>
      </c>
      <c r="C67" s="14" t="s">
        <v>222</v>
      </c>
      <c r="D67" s="14" t="s">
        <v>77</v>
      </c>
      <c r="E67" s="15" t="n">
        <v>29947</v>
      </c>
      <c r="F67" s="14" t="s">
        <v>57</v>
      </c>
      <c r="G67" s="14" t="s">
        <v>58</v>
      </c>
      <c r="H67" s="14" t="s">
        <v>59</v>
      </c>
      <c r="I67" s="14" t="s">
        <v>112</v>
      </c>
      <c r="J67" s="15" t="n">
        <v>46093</v>
      </c>
      <c r="K67" s="15"/>
      <c r="L67" s="14" t="s">
        <v>86</v>
      </c>
      <c r="M67" s="14" t="s">
        <v>79</v>
      </c>
      <c r="N67" s="14" t="s">
        <v>63</v>
      </c>
      <c r="O67" s="14" t="s">
        <v>83</v>
      </c>
      <c r="P67" s="16" t="n">
        <v>0.0696</v>
      </c>
      <c r="Q67" s="17" t="n">
        <v>1900000</v>
      </c>
      <c r="R67" s="18" t="n">
        <f aca="false">IF(Q67&lt;=Parametros!$B$4,Parametros!$B$3,0)</f>
        <v>249095</v>
      </c>
      <c r="S67" s="18" t="n">
        <f aca="false">Q67*Parametros!$B$5</f>
        <v>76000</v>
      </c>
      <c r="T67" s="18" t="n">
        <f aca="false">Q67*Parametros!$B$6</f>
        <v>76000</v>
      </c>
      <c r="U67" s="18" t="n">
        <f aca="false">(Q67+R67)*Parametros!$B$10</f>
        <v>179091.25</v>
      </c>
      <c r="V67" s="18" t="n">
        <f aca="false">U67*Parametros!$B$11</f>
        <v>21490.95</v>
      </c>
      <c r="W67" s="18" t="n">
        <f aca="false">(Q67+R67)*Parametros!$B$12</f>
        <v>179091.25</v>
      </c>
      <c r="X67" s="18" t="n">
        <f aca="false">Q67*Parametros!$B$13</f>
        <v>79230</v>
      </c>
      <c r="Y67" s="18" t="n">
        <f aca="false">Q67*Parametros!$B$7</f>
        <v>161500</v>
      </c>
      <c r="Z67" s="18" t="n">
        <f aca="false">Q67*Parametros!$B$8</f>
        <v>228000</v>
      </c>
      <c r="AA67" s="18" t="n">
        <f aca="false">Q67*Parametros!$B$9</f>
        <v>76000</v>
      </c>
      <c r="AB67" s="18" t="n">
        <f aca="false">Q67*P67</f>
        <v>132240</v>
      </c>
    </row>
    <row r="68" customFormat="false" ht="15" hidden="false" customHeight="false" outlineLevel="0" collapsed="false">
      <c r="A68" s="14" t="s">
        <v>223</v>
      </c>
      <c r="B68" s="14" t="s">
        <v>170</v>
      </c>
      <c r="C68" s="14" t="s">
        <v>224</v>
      </c>
      <c r="D68" s="14" t="s">
        <v>77</v>
      </c>
      <c r="E68" s="15" t="n">
        <v>26770</v>
      </c>
      <c r="F68" s="14" t="s">
        <v>57</v>
      </c>
      <c r="G68" s="14" t="s">
        <v>58</v>
      </c>
      <c r="H68" s="14" t="s">
        <v>59</v>
      </c>
      <c r="I68" s="14" t="s">
        <v>60</v>
      </c>
      <c r="J68" s="15" t="n">
        <v>45047</v>
      </c>
      <c r="K68" s="15"/>
      <c r="L68" s="14" t="s">
        <v>78</v>
      </c>
      <c r="M68" s="14" t="s">
        <v>79</v>
      </c>
      <c r="N68" s="14" t="s">
        <v>63</v>
      </c>
      <c r="O68" s="14" t="s">
        <v>83</v>
      </c>
      <c r="P68" s="16" t="n">
        <v>0.0435</v>
      </c>
      <c r="Q68" s="17" t="n">
        <v>1750905</v>
      </c>
      <c r="R68" s="18" t="n">
        <f aca="false">IF(Q68&lt;=Parametros!$B$4,Parametros!$B$3,0)</f>
        <v>249095</v>
      </c>
      <c r="S68" s="18" t="n">
        <f aca="false">Q68*Parametros!$B$5</f>
        <v>70036.2</v>
      </c>
      <c r="T68" s="18" t="n">
        <f aca="false">Q68*Parametros!$B$6</f>
        <v>70036.2</v>
      </c>
      <c r="U68" s="18" t="n">
        <f aca="false">(Q68+R68)*Parametros!$B$10</f>
        <v>166666.666666667</v>
      </c>
      <c r="V68" s="18" t="n">
        <f aca="false">U68*Parametros!$B$11</f>
        <v>20000</v>
      </c>
      <c r="W68" s="18" t="n">
        <f aca="false">(Q68+R68)*Parametros!$B$12</f>
        <v>166666.666666667</v>
      </c>
      <c r="X68" s="18" t="n">
        <f aca="false">Q68*Parametros!$B$13</f>
        <v>73012.7385</v>
      </c>
      <c r="Y68" s="18" t="n">
        <f aca="false">Q68*Parametros!$B$7</f>
        <v>148826.925</v>
      </c>
      <c r="Z68" s="18" t="n">
        <f aca="false">Q68*Parametros!$B$8</f>
        <v>210108.6</v>
      </c>
      <c r="AA68" s="18" t="n">
        <f aca="false">Q68*Parametros!$B$9</f>
        <v>70036.2</v>
      </c>
      <c r="AB68" s="18" t="n">
        <f aca="false">Q68*P68</f>
        <v>76164.3675</v>
      </c>
    </row>
    <row r="69" customFormat="false" ht="15" hidden="false" customHeight="false" outlineLevel="0" collapsed="false">
      <c r="A69" s="14" t="s">
        <v>225</v>
      </c>
      <c r="B69" s="14" t="s">
        <v>133</v>
      </c>
      <c r="C69" s="14" t="s">
        <v>226</v>
      </c>
      <c r="D69" s="14" t="s">
        <v>56</v>
      </c>
      <c r="E69" s="15" t="n">
        <v>31721</v>
      </c>
      <c r="F69" s="14" t="s">
        <v>57</v>
      </c>
      <c r="G69" s="14" t="s">
        <v>58</v>
      </c>
      <c r="H69" s="14" t="s">
        <v>59</v>
      </c>
      <c r="I69" s="14" t="s">
        <v>128</v>
      </c>
      <c r="J69" s="15" t="n">
        <v>45891</v>
      </c>
      <c r="K69" s="15"/>
      <c r="L69" s="14" t="s">
        <v>61</v>
      </c>
      <c r="M69" s="14" t="s">
        <v>79</v>
      </c>
      <c r="N69" s="14" t="s">
        <v>63</v>
      </c>
      <c r="O69" s="14" t="s">
        <v>83</v>
      </c>
      <c r="P69" s="16" t="n">
        <v>0.00522</v>
      </c>
      <c r="Q69" s="17" t="n">
        <v>1750905</v>
      </c>
      <c r="R69" s="18" t="n">
        <f aca="false">IF(Q69&lt;=Parametros!$B$4,Parametros!$B$3,0)</f>
        <v>249095</v>
      </c>
      <c r="S69" s="18" t="n">
        <f aca="false">Q69*Parametros!$B$5</f>
        <v>70036.2</v>
      </c>
      <c r="T69" s="18" t="n">
        <f aca="false">Q69*Parametros!$B$6</f>
        <v>70036.2</v>
      </c>
      <c r="U69" s="18" t="n">
        <f aca="false">(Q69+R69)*Parametros!$B$10</f>
        <v>166666.666666667</v>
      </c>
      <c r="V69" s="18" t="n">
        <f aca="false">U69*Parametros!$B$11</f>
        <v>20000</v>
      </c>
      <c r="W69" s="18" t="n">
        <f aca="false">(Q69+R69)*Parametros!$B$12</f>
        <v>166666.666666667</v>
      </c>
      <c r="X69" s="18" t="n">
        <f aca="false">Q69*Parametros!$B$13</f>
        <v>73012.7385</v>
      </c>
      <c r="Y69" s="18" t="n">
        <f aca="false">Q69*Parametros!$B$7</f>
        <v>148826.925</v>
      </c>
      <c r="Z69" s="18" t="n">
        <f aca="false">Q69*Parametros!$B$8</f>
        <v>210108.6</v>
      </c>
      <c r="AA69" s="18" t="n">
        <f aca="false">Q69*Parametros!$B$9</f>
        <v>70036.2</v>
      </c>
      <c r="AB69" s="18" t="n">
        <f aca="false">Q69*P69</f>
        <v>9139.7241</v>
      </c>
    </row>
    <row r="70" customFormat="false" ht="15" hidden="false" customHeight="false" outlineLevel="0" collapsed="false">
      <c r="A70" s="14" t="s">
        <v>227</v>
      </c>
      <c r="B70" s="14" t="s">
        <v>163</v>
      </c>
      <c r="C70" s="14" t="s">
        <v>197</v>
      </c>
      <c r="D70" s="14" t="s">
        <v>56</v>
      </c>
      <c r="E70" s="15" t="n">
        <v>30198</v>
      </c>
      <c r="F70" s="14" t="s">
        <v>57</v>
      </c>
      <c r="G70" s="14" t="s">
        <v>228</v>
      </c>
      <c r="H70" s="14" t="s">
        <v>229</v>
      </c>
      <c r="I70" s="14" t="s">
        <v>128</v>
      </c>
      <c r="J70" s="15" t="n">
        <v>45763</v>
      </c>
      <c r="K70" s="15" t="n">
        <v>46143</v>
      </c>
      <c r="L70" s="14" t="s">
        <v>86</v>
      </c>
      <c r="M70" s="14" t="s">
        <v>62</v>
      </c>
      <c r="N70" s="14" t="s">
        <v>63</v>
      </c>
      <c r="O70" s="14" t="s">
        <v>64</v>
      </c>
      <c r="P70" s="16" t="n">
        <v>0.00522</v>
      </c>
      <c r="Q70" s="17" t="n">
        <v>1750905</v>
      </c>
      <c r="R70" s="18" t="n">
        <f aca="false">IF(Q70&lt;=Parametros!$B$4,Parametros!$B$3,0)</f>
        <v>249095</v>
      </c>
      <c r="S70" s="18" t="n">
        <f aca="false">Q70*Parametros!$B$5</f>
        <v>70036.2</v>
      </c>
      <c r="T70" s="18" t="n">
        <f aca="false">Q70*Parametros!$B$6</f>
        <v>70036.2</v>
      </c>
      <c r="U70" s="18" t="n">
        <f aca="false">(Q70+R70)*Parametros!$B$10</f>
        <v>166666.666666667</v>
      </c>
      <c r="V70" s="18" t="n">
        <f aca="false">U70*Parametros!$B$11</f>
        <v>20000</v>
      </c>
      <c r="W70" s="18" t="n">
        <f aca="false">(Q70+R70)*Parametros!$B$12</f>
        <v>166666.666666667</v>
      </c>
      <c r="X70" s="18" t="n">
        <f aca="false">Q70*Parametros!$B$13</f>
        <v>73012.7385</v>
      </c>
      <c r="Y70" s="18" t="n">
        <f aca="false">Q70*Parametros!$B$7</f>
        <v>148826.925</v>
      </c>
      <c r="Z70" s="18" t="n">
        <f aca="false">Q70*Parametros!$B$8</f>
        <v>210108.6</v>
      </c>
      <c r="AA70" s="18" t="n">
        <f aca="false">Q70*Parametros!$B$9</f>
        <v>70036.2</v>
      </c>
      <c r="AB70" s="18" t="n">
        <f aca="false">Q70*P70</f>
        <v>9139.7241</v>
      </c>
    </row>
    <row r="71" customFormat="false" ht="15" hidden="false" customHeight="false" outlineLevel="0" collapsed="false">
      <c r="A71" s="14" t="s">
        <v>230</v>
      </c>
      <c r="B71" s="14" t="s">
        <v>196</v>
      </c>
      <c r="C71" s="14" t="s">
        <v>136</v>
      </c>
      <c r="D71" s="14" t="s">
        <v>77</v>
      </c>
      <c r="E71" s="15" t="n">
        <v>27105</v>
      </c>
      <c r="F71" s="14" t="s">
        <v>57</v>
      </c>
      <c r="G71" s="14" t="s">
        <v>58</v>
      </c>
      <c r="H71" s="14" t="s">
        <v>59</v>
      </c>
      <c r="I71" s="14" t="s">
        <v>231</v>
      </c>
      <c r="J71" s="15" t="n">
        <v>46143</v>
      </c>
      <c r="K71" s="15"/>
      <c r="L71" s="14" t="s">
        <v>232</v>
      </c>
      <c r="M71" s="14" t="s">
        <v>79</v>
      </c>
      <c r="N71" s="14" t="s">
        <v>63</v>
      </c>
      <c r="O71" s="14" t="s">
        <v>64</v>
      </c>
      <c r="P71" s="16" t="n">
        <v>0.00522</v>
      </c>
      <c r="Q71" s="17" t="n">
        <v>4000000</v>
      </c>
      <c r="R71" s="18" t="n">
        <f aca="false">IF(Q71&lt;=Parametros!$B$4,Parametros!$B$3,0)</f>
        <v>0</v>
      </c>
      <c r="S71" s="18" t="n">
        <f aca="false">Q71*Parametros!$B$5</f>
        <v>160000</v>
      </c>
      <c r="T71" s="18" t="n">
        <f aca="false">Q71*Parametros!$B$6</f>
        <v>160000</v>
      </c>
      <c r="U71" s="18" t="n">
        <f aca="false">(Q71+R71)*Parametros!$B$10</f>
        <v>333333.333333333</v>
      </c>
      <c r="V71" s="18" t="n">
        <f aca="false">U71*Parametros!$B$11</f>
        <v>40000</v>
      </c>
      <c r="W71" s="18" t="n">
        <f aca="false">(Q71+R71)*Parametros!$B$12</f>
        <v>333333.333333333</v>
      </c>
      <c r="X71" s="18" t="n">
        <f aca="false">Q71*Parametros!$B$13</f>
        <v>166800</v>
      </c>
      <c r="Y71" s="18" t="n">
        <f aca="false">Q71*Parametros!$B$7</f>
        <v>340000</v>
      </c>
      <c r="Z71" s="18" t="n">
        <f aca="false">Q71*Parametros!$B$8</f>
        <v>480000</v>
      </c>
      <c r="AA71" s="18" t="n">
        <f aca="false">Q71*Parametros!$B$9</f>
        <v>160000</v>
      </c>
      <c r="AB71" s="18" t="n">
        <f aca="false">Q71*P71</f>
        <v>20880</v>
      </c>
    </row>
    <row r="72" customFormat="false" ht="15" hidden="false" customHeight="false" outlineLevel="0" collapsed="false">
      <c r="A72" s="14" t="s">
        <v>233</v>
      </c>
      <c r="B72" s="14" t="s">
        <v>165</v>
      </c>
      <c r="C72" s="14" t="s">
        <v>125</v>
      </c>
      <c r="D72" s="14" t="s">
        <v>56</v>
      </c>
      <c r="E72" s="15" t="n">
        <v>29860</v>
      </c>
      <c r="F72" s="14" t="s">
        <v>57</v>
      </c>
      <c r="G72" s="14" t="s">
        <v>107</v>
      </c>
      <c r="H72" s="14" t="s">
        <v>108</v>
      </c>
      <c r="I72" s="14" t="s">
        <v>60</v>
      </c>
      <c r="J72" s="15" t="n">
        <v>45017</v>
      </c>
      <c r="K72" s="15"/>
      <c r="L72" s="14" t="s">
        <v>72</v>
      </c>
      <c r="M72" s="14" t="s">
        <v>73</v>
      </c>
      <c r="N72" s="14" t="s">
        <v>63</v>
      </c>
      <c r="O72" s="14" t="s">
        <v>64</v>
      </c>
      <c r="P72" s="16" t="n">
        <v>0.0435</v>
      </c>
      <c r="Q72" s="17" t="n">
        <v>1750905</v>
      </c>
      <c r="R72" s="18" t="n">
        <f aca="false">IF(Q72&lt;=Parametros!$B$4,Parametros!$B$3,0)</f>
        <v>249095</v>
      </c>
      <c r="S72" s="18" t="n">
        <f aca="false">Q72*Parametros!$B$5</f>
        <v>70036.2</v>
      </c>
      <c r="T72" s="18" t="n">
        <f aca="false">Q72*Parametros!$B$6</f>
        <v>70036.2</v>
      </c>
      <c r="U72" s="18" t="n">
        <f aca="false">(Q72+R72)*Parametros!$B$10</f>
        <v>166666.666666667</v>
      </c>
      <c r="V72" s="18" t="n">
        <f aca="false">U72*Parametros!$B$11</f>
        <v>20000</v>
      </c>
      <c r="W72" s="18" t="n">
        <f aca="false">(Q72+R72)*Parametros!$B$12</f>
        <v>166666.666666667</v>
      </c>
      <c r="X72" s="18" t="n">
        <f aca="false">Q72*Parametros!$B$13</f>
        <v>73012.7385</v>
      </c>
      <c r="Y72" s="18" t="n">
        <f aca="false">Q72*Parametros!$B$7</f>
        <v>148826.925</v>
      </c>
      <c r="Z72" s="18" t="n">
        <f aca="false">Q72*Parametros!$B$8</f>
        <v>210108.6</v>
      </c>
      <c r="AA72" s="18" t="n">
        <f aca="false">Q72*Parametros!$B$9</f>
        <v>70036.2</v>
      </c>
      <c r="AB72" s="18" t="n">
        <f aca="false">Q72*P72</f>
        <v>76164.3675</v>
      </c>
    </row>
    <row r="73" customFormat="false" ht="15" hidden="false" customHeight="false" outlineLevel="0" collapsed="false">
      <c r="A73" s="14" t="s">
        <v>234</v>
      </c>
      <c r="B73" s="14" t="s">
        <v>168</v>
      </c>
      <c r="C73" s="14" t="s">
        <v>235</v>
      </c>
      <c r="D73" s="14" t="s">
        <v>56</v>
      </c>
      <c r="E73" s="15" t="n">
        <v>29750</v>
      </c>
      <c r="F73" s="14" t="s">
        <v>57</v>
      </c>
      <c r="G73" s="14" t="s">
        <v>58</v>
      </c>
      <c r="H73" s="14" t="s">
        <v>59</v>
      </c>
      <c r="I73" s="14" t="s">
        <v>60</v>
      </c>
      <c r="J73" s="15" t="n">
        <v>46174</v>
      </c>
      <c r="K73" s="15"/>
      <c r="L73" s="14" t="s">
        <v>72</v>
      </c>
      <c r="M73" s="14" t="s">
        <v>79</v>
      </c>
      <c r="N73" s="14" t="s">
        <v>63</v>
      </c>
      <c r="O73" s="14" t="s">
        <v>64</v>
      </c>
      <c r="P73" s="16" t="n">
        <v>0.0435</v>
      </c>
      <c r="Q73" s="17" t="n">
        <v>1750905</v>
      </c>
      <c r="R73" s="18" t="n">
        <f aca="false">IF(Q73&lt;=Parametros!$B$4,Parametros!$B$3,0)</f>
        <v>249095</v>
      </c>
      <c r="S73" s="18" t="n">
        <f aca="false">Q73*Parametros!$B$5</f>
        <v>70036.2</v>
      </c>
      <c r="T73" s="18" t="n">
        <f aca="false">Q73*Parametros!$B$6</f>
        <v>70036.2</v>
      </c>
      <c r="U73" s="18" t="n">
        <f aca="false">(Q73+R73)*Parametros!$B$10</f>
        <v>166666.666666667</v>
      </c>
      <c r="V73" s="18" t="n">
        <f aca="false">U73*Parametros!$B$11</f>
        <v>20000</v>
      </c>
      <c r="W73" s="18" t="n">
        <f aca="false">(Q73+R73)*Parametros!$B$12</f>
        <v>166666.666666667</v>
      </c>
      <c r="X73" s="18" t="n">
        <f aca="false">Q73*Parametros!$B$13</f>
        <v>73012.7385</v>
      </c>
      <c r="Y73" s="18" t="n">
        <f aca="false">Q73*Parametros!$B$7</f>
        <v>148826.925</v>
      </c>
      <c r="Z73" s="18" t="n">
        <f aca="false">Q73*Parametros!$B$8</f>
        <v>210108.6</v>
      </c>
      <c r="AA73" s="18" t="n">
        <f aca="false">Q73*Parametros!$B$9</f>
        <v>70036.2</v>
      </c>
      <c r="AB73" s="18" t="n">
        <f aca="false">Q73*P73</f>
        <v>76164.3675</v>
      </c>
    </row>
    <row r="74" customFormat="false" ht="15" hidden="false" customHeight="false" outlineLevel="0" collapsed="false">
      <c r="A74" s="14" t="s">
        <v>236</v>
      </c>
      <c r="B74" s="14" t="s">
        <v>237</v>
      </c>
      <c r="C74" s="14" t="s">
        <v>55</v>
      </c>
      <c r="D74" s="14" t="s">
        <v>56</v>
      </c>
      <c r="E74" s="15" t="n">
        <v>27585</v>
      </c>
      <c r="F74" s="14" t="s">
        <v>57</v>
      </c>
      <c r="G74" s="14" t="s">
        <v>58</v>
      </c>
      <c r="H74" s="14" t="s">
        <v>59</v>
      </c>
      <c r="I74" s="14" t="s">
        <v>112</v>
      </c>
      <c r="J74" s="15" t="n">
        <v>43957</v>
      </c>
      <c r="K74" s="15"/>
      <c r="L74" s="14" t="s">
        <v>78</v>
      </c>
      <c r="M74" s="14" t="s">
        <v>79</v>
      </c>
      <c r="N74" s="14" t="s">
        <v>63</v>
      </c>
      <c r="O74" s="14" t="s">
        <v>83</v>
      </c>
      <c r="P74" s="16" t="n">
        <v>0.0696</v>
      </c>
      <c r="Q74" s="17" t="n">
        <v>1900000</v>
      </c>
      <c r="R74" s="18" t="n">
        <f aca="false">IF(Q74&lt;=Parametros!$B$4,Parametros!$B$3,0)</f>
        <v>249095</v>
      </c>
      <c r="S74" s="18" t="n">
        <f aca="false">Q74*Parametros!$B$5</f>
        <v>76000</v>
      </c>
      <c r="T74" s="18" t="n">
        <f aca="false">Q74*Parametros!$B$6</f>
        <v>76000</v>
      </c>
      <c r="U74" s="18" t="n">
        <f aca="false">(Q74+R74)*Parametros!$B$10</f>
        <v>179091.25</v>
      </c>
      <c r="V74" s="18" t="n">
        <f aca="false">U74*Parametros!$B$11</f>
        <v>21490.95</v>
      </c>
      <c r="W74" s="18" t="n">
        <f aca="false">(Q74+R74)*Parametros!$B$12</f>
        <v>179091.25</v>
      </c>
      <c r="X74" s="18" t="n">
        <f aca="false">Q74*Parametros!$B$13</f>
        <v>79230</v>
      </c>
      <c r="Y74" s="18" t="n">
        <f aca="false">Q74*Parametros!$B$7</f>
        <v>161500</v>
      </c>
      <c r="Z74" s="18" t="n">
        <f aca="false">Q74*Parametros!$B$8</f>
        <v>228000</v>
      </c>
      <c r="AA74" s="18" t="n">
        <f aca="false">Q74*Parametros!$B$9</f>
        <v>76000</v>
      </c>
      <c r="AB74" s="18" t="n">
        <f aca="false">Q74*P74</f>
        <v>132240</v>
      </c>
    </row>
    <row r="75" customFormat="false" ht="15" hidden="false" customHeight="false" outlineLevel="0" collapsed="false">
      <c r="A75" s="14" t="s">
        <v>238</v>
      </c>
      <c r="B75" s="14" t="s">
        <v>206</v>
      </c>
      <c r="C75" s="14" t="s">
        <v>239</v>
      </c>
      <c r="D75" s="14" t="s">
        <v>77</v>
      </c>
      <c r="E75" s="15" t="n">
        <v>31121</v>
      </c>
      <c r="F75" s="14" t="s">
        <v>57</v>
      </c>
      <c r="G75" s="14" t="s">
        <v>58</v>
      </c>
      <c r="H75" s="14" t="s">
        <v>59</v>
      </c>
      <c r="I75" s="14" t="s">
        <v>240</v>
      </c>
      <c r="J75" s="15" t="n">
        <v>46174</v>
      </c>
      <c r="K75" s="15"/>
      <c r="L75" s="14" t="s">
        <v>72</v>
      </c>
      <c r="M75" s="14" t="s">
        <v>98</v>
      </c>
      <c r="N75" s="14" t="s">
        <v>63</v>
      </c>
      <c r="O75" s="14" t="s">
        <v>64</v>
      </c>
      <c r="P75" s="16" t="n">
        <v>0.02436</v>
      </c>
      <c r="Q75" s="17" t="n">
        <v>2800000</v>
      </c>
      <c r="R75" s="18" t="n">
        <f aca="false">IF(Q75&lt;=Parametros!$B$4,Parametros!$B$3,0)</f>
        <v>249095</v>
      </c>
      <c r="S75" s="18" t="n">
        <f aca="false">Q75*Parametros!$B$5</f>
        <v>112000</v>
      </c>
      <c r="T75" s="18" t="n">
        <f aca="false">Q75*Parametros!$B$6</f>
        <v>112000</v>
      </c>
      <c r="U75" s="18" t="n">
        <f aca="false">(Q75+R75)*Parametros!$B$10</f>
        <v>254091.25</v>
      </c>
      <c r="V75" s="18" t="n">
        <f aca="false">U75*Parametros!$B$11</f>
        <v>30490.95</v>
      </c>
      <c r="W75" s="18" t="n">
        <f aca="false">(Q75+R75)*Parametros!$B$12</f>
        <v>254091.25</v>
      </c>
      <c r="X75" s="18" t="n">
        <f aca="false">Q75*Parametros!$B$13</f>
        <v>116760</v>
      </c>
      <c r="Y75" s="18" t="n">
        <f aca="false">Q75*Parametros!$B$7</f>
        <v>238000</v>
      </c>
      <c r="Z75" s="18" t="n">
        <f aca="false">Q75*Parametros!$B$8</f>
        <v>336000</v>
      </c>
      <c r="AA75" s="18" t="n">
        <f aca="false">Q75*Parametros!$B$9</f>
        <v>112000</v>
      </c>
      <c r="AB75" s="18" t="n">
        <f aca="false">Q75*P75</f>
        <v>68208</v>
      </c>
    </row>
    <row r="76" customFormat="false" ht="15" hidden="false" customHeight="false" outlineLevel="0" collapsed="false">
      <c r="A76" s="14" t="s">
        <v>241</v>
      </c>
      <c r="B76" s="14" t="s">
        <v>54</v>
      </c>
      <c r="C76" s="14" t="s">
        <v>103</v>
      </c>
      <c r="D76" s="14" t="s">
        <v>56</v>
      </c>
      <c r="E76" s="15" t="n">
        <v>33042</v>
      </c>
      <c r="F76" s="14" t="s">
        <v>57</v>
      </c>
      <c r="G76" s="14" t="s">
        <v>58</v>
      </c>
      <c r="H76" s="14" t="s">
        <v>59</v>
      </c>
      <c r="I76" s="14" t="s">
        <v>112</v>
      </c>
      <c r="J76" s="15" t="n">
        <v>46045</v>
      </c>
      <c r="K76" s="15" t="n">
        <v>46054</v>
      </c>
      <c r="L76" s="14" t="s">
        <v>97</v>
      </c>
      <c r="M76" s="14" t="s">
        <v>62</v>
      </c>
      <c r="N76" s="14" t="s">
        <v>63</v>
      </c>
      <c r="O76" s="14" t="s">
        <v>64</v>
      </c>
      <c r="P76" s="16" t="n">
        <v>0.0696</v>
      </c>
      <c r="Q76" s="17" t="n">
        <v>1900000</v>
      </c>
      <c r="R76" s="18" t="n">
        <f aca="false">IF(Q76&lt;=Parametros!$B$4,Parametros!$B$3,0)</f>
        <v>249095</v>
      </c>
      <c r="S76" s="18" t="n">
        <f aca="false">Q76*Parametros!$B$5</f>
        <v>76000</v>
      </c>
      <c r="T76" s="18" t="n">
        <f aca="false">Q76*Parametros!$B$6</f>
        <v>76000</v>
      </c>
      <c r="U76" s="18" t="n">
        <f aca="false">(Q76+R76)*Parametros!$B$10</f>
        <v>179091.25</v>
      </c>
      <c r="V76" s="18" t="n">
        <f aca="false">U76*Parametros!$B$11</f>
        <v>21490.95</v>
      </c>
      <c r="W76" s="18" t="n">
        <f aca="false">(Q76+R76)*Parametros!$B$12</f>
        <v>179091.25</v>
      </c>
      <c r="X76" s="18" t="n">
        <f aca="false">Q76*Parametros!$B$13</f>
        <v>79230</v>
      </c>
      <c r="Y76" s="18" t="n">
        <f aca="false">Q76*Parametros!$B$7</f>
        <v>161500</v>
      </c>
      <c r="Z76" s="18" t="n">
        <f aca="false">Q76*Parametros!$B$8</f>
        <v>228000</v>
      </c>
      <c r="AA76" s="18" t="n">
        <f aca="false">Q76*Parametros!$B$9</f>
        <v>76000</v>
      </c>
      <c r="AB76" s="18" t="n">
        <f aca="false">Q76*P76</f>
        <v>132240</v>
      </c>
    </row>
    <row r="77" customFormat="false" ht="15" hidden="false" customHeight="false" outlineLevel="0" collapsed="false">
      <c r="A77" s="14" t="s">
        <v>242</v>
      </c>
      <c r="B77" s="14" t="s">
        <v>168</v>
      </c>
      <c r="C77" s="14" t="s">
        <v>243</v>
      </c>
      <c r="D77" s="14" t="s">
        <v>56</v>
      </c>
      <c r="E77" s="15" t="n">
        <v>30233</v>
      </c>
      <c r="F77" s="14" t="s">
        <v>57</v>
      </c>
      <c r="G77" s="14" t="s">
        <v>58</v>
      </c>
      <c r="H77" s="14" t="s">
        <v>59</v>
      </c>
      <c r="I77" s="14" t="s">
        <v>112</v>
      </c>
      <c r="J77" s="15" t="n">
        <v>46045</v>
      </c>
      <c r="K77" s="15" t="n">
        <v>46054</v>
      </c>
      <c r="L77" s="14" t="s">
        <v>61</v>
      </c>
      <c r="M77" s="14" t="s">
        <v>79</v>
      </c>
      <c r="N77" s="14" t="s">
        <v>63</v>
      </c>
      <c r="O77" s="14" t="s">
        <v>64</v>
      </c>
      <c r="P77" s="16" t="n">
        <v>0.0696</v>
      </c>
      <c r="Q77" s="17" t="n">
        <v>1900000</v>
      </c>
      <c r="R77" s="18" t="n">
        <f aca="false">IF(Q77&lt;=Parametros!$B$4,Parametros!$B$3,0)</f>
        <v>249095</v>
      </c>
      <c r="S77" s="18" t="n">
        <f aca="false">Q77*Parametros!$B$5</f>
        <v>76000</v>
      </c>
      <c r="T77" s="18" t="n">
        <f aca="false">Q77*Parametros!$B$6</f>
        <v>76000</v>
      </c>
      <c r="U77" s="18" t="n">
        <f aca="false">(Q77+R77)*Parametros!$B$10</f>
        <v>179091.25</v>
      </c>
      <c r="V77" s="18" t="n">
        <f aca="false">U77*Parametros!$B$11</f>
        <v>21490.95</v>
      </c>
      <c r="W77" s="18" t="n">
        <f aca="false">(Q77+R77)*Parametros!$B$12</f>
        <v>179091.25</v>
      </c>
      <c r="X77" s="18" t="n">
        <f aca="false">Q77*Parametros!$B$13</f>
        <v>79230</v>
      </c>
      <c r="Y77" s="18" t="n">
        <f aca="false">Q77*Parametros!$B$7</f>
        <v>161500</v>
      </c>
      <c r="Z77" s="18" t="n">
        <f aca="false">Q77*Parametros!$B$8</f>
        <v>228000</v>
      </c>
      <c r="AA77" s="18" t="n">
        <f aca="false">Q77*Parametros!$B$9</f>
        <v>76000</v>
      </c>
      <c r="AB77" s="18" t="n">
        <f aca="false">Q77*P77</f>
        <v>132240</v>
      </c>
    </row>
    <row r="78" customFormat="false" ht="15" hidden="false" customHeight="false" outlineLevel="0" collapsed="false">
      <c r="A78" s="14" t="s">
        <v>244</v>
      </c>
      <c r="B78" s="14" t="s">
        <v>127</v>
      </c>
      <c r="C78" s="14" t="s">
        <v>245</v>
      </c>
      <c r="D78" s="14" t="s">
        <v>56</v>
      </c>
      <c r="E78" s="15" t="n">
        <v>35272</v>
      </c>
      <c r="F78" s="14" t="s">
        <v>57</v>
      </c>
      <c r="G78" s="14" t="s">
        <v>58</v>
      </c>
      <c r="H78" s="14" t="s">
        <v>59</v>
      </c>
      <c r="I78" s="14" t="s">
        <v>128</v>
      </c>
      <c r="J78" s="15" t="n">
        <v>44409</v>
      </c>
      <c r="K78" s="15"/>
      <c r="L78" s="14" t="s">
        <v>246</v>
      </c>
      <c r="M78" s="14" t="s">
        <v>79</v>
      </c>
      <c r="N78" s="14" t="s">
        <v>63</v>
      </c>
      <c r="O78" s="14" t="s">
        <v>83</v>
      </c>
      <c r="P78" s="16" t="n">
        <v>0.00522</v>
      </c>
      <c r="Q78" s="17" t="n">
        <v>1750905</v>
      </c>
      <c r="R78" s="18" t="n">
        <f aca="false">IF(Q78&lt;=Parametros!$B$4,Parametros!$B$3,0)</f>
        <v>249095</v>
      </c>
      <c r="S78" s="18" t="n">
        <f aca="false">Q78*Parametros!$B$5</f>
        <v>70036.2</v>
      </c>
      <c r="T78" s="18" t="n">
        <f aca="false">Q78*Parametros!$B$6</f>
        <v>70036.2</v>
      </c>
      <c r="U78" s="18" t="n">
        <f aca="false">(Q78+R78)*Parametros!$B$10</f>
        <v>166666.666666667</v>
      </c>
      <c r="V78" s="18" t="n">
        <f aca="false">U78*Parametros!$B$11</f>
        <v>20000</v>
      </c>
      <c r="W78" s="18" t="n">
        <f aca="false">(Q78+R78)*Parametros!$B$12</f>
        <v>166666.666666667</v>
      </c>
      <c r="X78" s="18" t="n">
        <f aca="false">Q78*Parametros!$B$13</f>
        <v>73012.7385</v>
      </c>
      <c r="Y78" s="18" t="n">
        <f aca="false">Q78*Parametros!$B$7</f>
        <v>148826.925</v>
      </c>
      <c r="Z78" s="18" t="n">
        <f aca="false">Q78*Parametros!$B$8</f>
        <v>210108.6</v>
      </c>
      <c r="AA78" s="18" t="n">
        <f aca="false">Q78*Parametros!$B$9</f>
        <v>70036.2</v>
      </c>
      <c r="AB78" s="18" t="n">
        <f aca="false">Q78*P78</f>
        <v>9139.7241</v>
      </c>
    </row>
    <row r="79" customFormat="false" ht="15" hidden="false" customHeight="false" outlineLevel="0" collapsed="false">
      <c r="A79" s="14" t="s">
        <v>247</v>
      </c>
      <c r="B79" s="14" t="s">
        <v>133</v>
      </c>
      <c r="C79" s="14" t="s">
        <v>248</v>
      </c>
      <c r="D79" s="14" t="s">
        <v>56</v>
      </c>
      <c r="E79" s="15" t="n">
        <v>25771</v>
      </c>
      <c r="F79" s="14" t="s">
        <v>57</v>
      </c>
      <c r="G79" s="14" t="s">
        <v>58</v>
      </c>
      <c r="H79" s="14" t="s">
        <v>59</v>
      </c>
      <c r="I79" s="14" t="s">
        <v>128</v>
      </c>
      <c r="J79" s="15" t="n">
        <v>45033</v>
      </c>
      <c r="K79" s="15"/>
      <c r="L79" s="14" t="s">
        <v>97</v>
      </c>
      <c r="M79" s="14" t="s">
        <v>79</v>
      </c>
      <c r="N79" s="14" t="s">
        <v>63</v>
      </c>
      <c r="O79" s="14" t="s">
        <v>64</v>
      </c>
      <c r="P79" s="16" t="n">
        <v>0.00522</v>
      </c>
      <c r="Q79" s="17" t="n">
        <v>1750905</v>
      </c>
      <c r="R79" s="18" t="n">
        <f aca="false">IF(Q79&lt;=Parametros!$B$4,Parametros!$B$3,0)</f>
        <v>249095</v>
      </c>
      <c r="S79" s="18" t="n">
        <f aca="false">Q79*Parametros!$B$5</f>
        <v>70036.2</v>
      </c>
      <c r="T79" s="18" t="n">
        <f aca="false">Q79*Parametros!$B$6</f>
        <v>70036.2</v>
      </c>
      <c r="U79" s="18" t="n">
        <f aca="false">(Q79+R79)*Parametros!$B$10</f>
        <v>166666.666666667</v>
      </c>
      <c r="V79" s="18" t="n">
        <f aca="false">U79*Parametros!$B$11</f>
        <v>20000</v>
      </c>
      <c r="W79" s="18" t="n">
        <f aca="false">(Q79+R79)*Parametros!$B$12</f>
        <v>166666.666666667</v>
      </c>
      <c r="X79" s="18" t="n">
        <f aca="false">Q79*Parametros!$B$13</f>
        <v>73012.7385</v>
      </c>
      <c r="Y79" s="18" t="n">
        <f aca="false">Q79*Parametros!$B$7</f>
        <v>148826.925</v>
      </c>
      <c r="Z79" s="18" t="n">
        <f aca="false">Q79*Parametros!$B$8</f>
        <v>210108.6</v>
      </c>
      <c r="AA79" s="18" t="n">
        <f aca="false">Q79*Parametros!$B$9</f>
        <v>70036.2</v>
      </c>
      <c r="AB79" s="18" t="n">
        <f aca="false">Q79*P79</f>
        <v>9139.7241</v>
      </c>
    </row>
    <row r="80" customFormat="false" ht="15" hidden="false" customHeight="false" outlineLevel="0" collapsed="false">
      <c r="A80" s="14" t="s">
        <v>249</v>
      </c>
      <c r="B80" s="14" t="s">
        <v>155</v>
      </c>
      <c r="C80" s="14" t="s">
        <v>178</v>
      </c>
      <c r="D80" s="14" t="s">
        <v>56</v>
      </c>
      <c r="E80" s="15" t="n">
        <v>29955</v>
      </c>
      <c r="F80" s="14" t="s">
        <v>57</v>
      </c>
      <c r="G80" s="14" t="s">
        <v>58</v>
      </c>
      <c r="H80" s="14" t="s">
        <v>59</v>
      </c>
      <c r="I80" s="14" t="s">
        <v>60</v>
      </c>
      <c r="J80" s="15" t="n">
        <v>45092</v>
      </c>
      <c r="K80" s="15"/>
      <c r="L80" s="14" t="s">
        <v>78</v>
      </c>
      <c r="M80" s="14" t="s">
        <v>98</v>
      </c>
      <c r="N80" s="14" t="s">
        <v>63</v>
      </c>
      <c r="O80" s="14" t="s">
        <v>64</v>
      </c>
      <c r="P80" s="16" t="n">
        <v>0.0435</v>
      </c>
      <c r="Q80" s="17" t="n">
        <v>1750905</v>
      </c>
      <c r="R80" s="18" t="n">
        <f aca="false">IF(Q80&lt;=Parametros!$B$4,Parametros!$B$3,0)</f>
        <v>249095</v>
      </c>
      <c r="S80" s="18" t="n">
        <f aca="false">Q80*Parametros!$B$5</f>
        <v>70036.2</v>
      </c>
      <c r="T80" s="18" t="n">
        <f aca="false">Q80*Parametros!$B$6</f>
        <v>70036.2</v>
      </c>
      <c r="U80" s="18" t="n">
        <f aca="false">(Q80+R80)*Parametros!$B$10</f>
        <v>166666.666666667</v>
      </c>
      <c r="V80" s="18" t="n">
        <f aca="false">U80*Parametros!$B$11</f>
        <v>20000</v>
      </c>
      <c r="W80" s="18" t="n">
        <f aca="false">(Q80+R80)*Parametros!$B$12</f>
        <v>166666.666666667</v>
      </c>
      <c r="X80" s="18" t="n">
        <f aca="false">Q80*Parametros!$B$13</f>
        <v>73012.7385</v>
      </c>
      <c r="Y80" s="18" t="n">
        <f aca="false">Q80*Parametros!$B$7</f>
        <v>148826.925</v>
      </c>
      <c r="Z80" s="18" t="n">
        <f aca="false">Q80*Parametros!$B$8</f>
        <v>210108.6</v>
      </c>
      <c r="AA80" s="18" t="n">
        <f aca="false">Q80*Parametros!$B$9</f>
        <v>70036.2</v>
      </c>
      <c r="AB80" s="18" t="n">
        <f aca="false">Q80*P80</f>
        <v>76164.3675</v>
      </c>
    </row>
    <row r="81" customFormat="false" ht="15" hidden="false" customHeight="false" outlineLevel="0" collapsed="false">
      <c r="A81" s="14" t="s">
        <v>250</v>
      </c>
      <c r="B81" s="14" t="s">
        <v>124</v>
      </c>
      <c r="C81" s="14" t="s">
        <v>166</v>
      </c>
      <c r="D81" s="14" t="s">
        <v>77</v>
      </c>
      <c r="E81" s="15" t="n">
        <v>29159</v>
      </c>
      <c r="F81" s="14" t="s">
        <v>57</v>
      </c>
      <c r="G81" s="14" t="s">
        <v>58</v>
      </c>
      <c r="H81" s="14" t="s">
        <v>59</v>
      </c>
      <c r="I81" s="14" t="s">
        <v>112</v>
      </c>
      <c r="J81" s="15" t="n">
        <v>45694</v>
      </c>
      <c r="K81" s="15"/>
      <c r="L81" s="14" t="s">
        <v>72</v>
      </c>
      <c r="M81" s="14" t="s">
        <v>62</v>
      </c>
      <c r="N81" s="14" t="s">
        <v>63</v>
      </c>
      <c r="O81" s="14" t="s">
        <v>64</v>
      </c>
      <c r="P81" s="16" t="n">
        <v>0.0696</v>
      </c>
      <c r="Q81" s="17" t="n">
        <v>1900000</v>
      </c>
      <c r="R81" s="18" t="n">
        <f aca="false">IF(Q81&lt;=Parametros!$B$4,Parametros!$B$3,0)</f>
        <v>249095</v>
      </c>
      <c r="S81" s="18" t="n">
        <f aca="false">Q81*Parametros!$B$5</f>
        <v>76000</v>
      </c>
      <c r="T81" s="18" t="n">
        <f aca="false">Q81*Parametros!$B$6</f>
        <v>76000</v>
      </c>
      <c r="U81" s="18" t="n">
        <f aca="false">(Q81+R81)*Parametros!$B$10</f>
        <v>179091.25</v>
      </c>
      <c r="V81" s="18" t="n">
        <f aca="false">U81*Parametros!$B$11</f>
        <v>21490.95</v>
      </c>
      <c r="W81" s="18" t="n">
        <f aca="false">(Q81+R81)*Parametros!$B$12</f>
        <v>179091.25</v>
      </c>
      <c r="X81" s="18" t="n">
        <f aca="false">Q81*Parametros!$B$13</f>
        <v>79230</v>
      </c>
      <c r="Y81" s="18" t="n">
        <f aca="false">Q81*Parametros!$B$7</f>
        <v>161500</v>
      </c>
      <c r="Z81" s="18" t="n">
        <f aca="false">Q81*Parametros!$B$8</f>
        <v>228000</v>
      </c>
      <c r="AA81" s="18" t="n">
        <f aca="false">Q81*Parametros!$B$9</f>
        <v>76000</v>
      </c>
      <c r="AB81" s="18" t="n">
        <f aca="false">Q81*P81</f>
        <v>132240</v>
      </c>
    </row>
    <row r="82" customFormat="false" ht="15" hidden="false" customHeight="false" outlineLevel="0" collapsed="false">
      <c r="A82" s="14" t="s">
        <v>251</v>
      </c>
      <c r="B82" s="14" t="s">
        <v>217</v>
      </c>
      <c r="C82" s="14" t="s">
        <v>252</v>
      </c>
      <c r="D82" s="14" t="s">
        <v>77</v>
      </c>
      <c r="E82" s="15" t="n">
        <v>28939</v>
      </c>
      <c r="F82" s="14" t="s">
        <v>57</v>
      </c>
      <c r="G82" s="14" t="s">
        <v>58</v>
      </c>
      <c r="H82" s="14" t="s">
        <v>59</v>
      </c>
      <c r="I82" s="14" t="s">
        <v>60</v>
      </c>
      <c r="J82" s="15" t="n">
        <v>43497</v>
      </c>
      <c r="K82" s="15"/>
      <c r="L82" s="14" t="s">
        <v>97</v>
      </c>
      <c r="M82" s="14" t="s">
        <v>62</v>
      </c>
      <c r="N82" s="14" t="s">
        <v>63</v>
      </c>
      <c r="O82" s="14" t="s">
        <v>64</v>
      </c>
      <c r="P82" s="16" t="n">
        <v>0.0435</v>
      </c>
      <c r="Q82" s="17" t="n">
        <v>1750905</v>
      </c>
      <c r="R82" s="18" t="n">
        <f aca="false">IF(Q82&lt;=Parametros!$B$4,Parametros!$B$3,0)</f>
        <v>249095</v>
      </c>
      <c r="S82" s="18" t="n">
        <f aca="false">Q82*Parametros!$B$5</f>
        <v>70036.2</v>
      </c>
      <c r="T82" s="18" t="n">
        <f aca="false">Q82*Parametros!$B$6</f>
        <v>70036.2</v>
      </c>
      <c r="U82" s="18" t="n">
        <f aca="false">(Q82+R82)*Parametros!$B$10</f>
        <v>166666.666666667</v>
      </c>
      <c r="V82" s="18" t="n">
        <f aca="false">U82*Parametros!$B$11</f>
        <v>20000</v>
      </c>
      <c r="W82" s="18" t="n">
        <f aca="false">(Q82+R82)*Parametros!$B$12</f>
        <v>166666.666666667</v>
      </c>
      <c r="X82" s="18" t="n">
        <f aca="false">Q82*Parametros!$B$13</f>
        <v>73012.7385</v>
      </c>
      <c r="Y82" s="18" t="n">
        <f aca="false">Q82*Parametros!$B$7</f>
        <v>148826.925</v>
      </c>
      <c r="Z82" s="18" t="n">
        <f aca="false">Q82*Parametros!$B$8</f>
        <v>210108.6</v>
      </c>
      <c r="AA82" s="18" t="n">
        <f aca="false">Q82*Parametros!$B$9</f>
        <v>70036.2</v>
      </c>
      <c r="AB82" s="18" t="n">
        <f aca="false">Q82*P82</f>
        <v>76164.3675</v>
      </c>
    </row>
    <row r="83" customFormat="false" ht="15" hidden="false" customHeight="false" outlineLevel="0" collapsed="false">
      <c r="A83" s="14" t="s">
        <v>253</v>
      </c>
      <c r="B83" s="14" t="s">
        <v>165</v>
      </c>
      <c r="C83" s="14" t="s">
        <v>200</v>
      </c>
      <c r="D83" s="14" t="s">
        <v>56</v>
      </c>
      <c r="E83" s="15" t="n">
        <v>33083</v>
      </c>
      <c r="F83" s="14" t="s">
        <v>57</v>
      </c>
      <c r="G83" s="14" t="s">
        <v>58</v>
      </c>
      <c r="H83" s="14" t="s">
        <v>59</v>
      </c>
      <c r="I83" s="14" t="s">
        <v>60</v>
      </c>
      <c r="J83" s="15" t="n">
        <v>45474</v>
      </c>
      <c r="K83" s="15"/>
      <c r="L83" s="14" t="s">
        <v>97</v>
      </c>
      <c r="M83" s="14" t="s">
        <v>62</v>
      </c>
      <c r="N83" s="14" t="s">
        <v>63</v>
      </c>
      <c r="O83" s="14" t="s">
        <v>64</v>
      </c>
      <c r="P83" s="16" t="n">
        <v>0.0435</v>
      </c>
      <c r="Q83" s="17" t="n">
        <v>1750905</v>
      </c>
      <c r="R83" s="18" t="n">
        <f aca="false">IF(Q83&lt;=Parametros!$B$4,Parametros!$B$3,0)</f>
        <v>249095</v>
      </c>
      <c r="S83" s="18" t="n">
        <f aca="false">Q83*Parametros!$B$5</f>
        <v>70036.2</v>
      </c>
      <c r="T83" s="18" t="n">
        <f aca="false">Q83*Parametros!$B$6</f>
        <v>70036.2</v>
      </c>
      <c r="U83" s="18" t="n">
        <f aca="false">(Q83+R83)*Parametros!$B$10</f>
        <v>166666.666666667</v>
      </c>
      <c r="V83" s="18" t="n">
        <f aca="false">U83*Parametros!$B$11</f>
        <v>20000</v>
      </c>
      <c r="W83" s="18" t="n">
        <f aca="false">(Q83+R83)*Parametros!$B$12</f>
        <v>166666.666666667</v>
      </c>
      <c r="X83" s="18" t="n">
        <f aca="false">Q83*Parametros!$B$13</f>
        <v>73012.7385</v>
      </c>
      <c r="Y83" s="18" t="n">
        <f aca="false">Q83*Parametros!$B$7</f>
        <v>148826.925</v>
      </c>
      <c r="Z83" s="18" t="n">
        <f aca="false">Q83*Parametros!$B$8</f>
        <v>210108.6</v>
      </c>
      <c r="AA83" s="18" t="n">
        <f aca="false">Q83*Parametros!$B$9</f>
        <v>70036.2</v>
      </c>
      <c r="AB83" s="18" t="n">
        <f aca="false">Q83*P83</f>
        <v>76164.3675</v>
      </c>
    </row>
    <row r="84" customFormat="false" ht="15" hidden="false" customHeight="false" outlineLevel="0" collapsed="false">
      <c r="A84" s="14" t="s">
        <v>254</v>
      </c>
      <c r="B84" s="14" t="s">
        <v>199</v>
      </c>
      <c r="C84" s="14" t="s">
        <v>255</v>
      </c>
      <c r="D84" s="14" t="s">
        <v>77</v>
      </c>
      <c r="E84" s="15" t="n">
        <v>26163</v>
      </c>
      <c r="F84" s="14" t="s">
        <v>57</v>
      </c>
      <c r="G84" s="14" t="s">
        <v>58</v>
      </c>
      <c r="H84" s="14" t="s">
        <v>59</v>
      </c>
      <c r="I84" s="14" t="s">
        <v>192</v>
      </c>
      <c r="J84" s="15" t="n">
        <v>45721</v>
      </c>
      <c r="K84" s="15"/>
      <c r="L84" s="14" t="s">
        <v>86</v>
      </c>
      <c r="M84" s="14" t="s">
        <v>79</v>
      </c>
      <c r="N84" s="14" t="s">
        <v>63</v>
      </c>
      <c r="O84" s="14" t="s">
        <v>64</v>
      </c>
      <c r="P84" s="16" t="n">
        <v>0.00522</v>
      </c>
      <c r="Q84" s="17" t="n">
        <v>1750905</v>
      </c>
      <c r="R84" s="18" t="n">
        <f aca="false">IF(Q84&lt;=Parametros!$B$4,Parametros!$B$3,0)</f>
        <v>249095</v>
      </c>
      <c r="S84" s="18" t="n">
        <f aca="false">Q84*Parametros!$B$5</f>
        <v>70036.2</v>
      </c>
      <c r="T84" s="18" t="n">
        <f aca="false">Q84*Parametros!$B$6</f>
        <v>70036.2</v>
      </c>
      <c r="U84" s="18" t="n">
        <f aca="false">(Q84+R84)*Parametros!$B$10</f>
        <v>166666.666666667</v>
      </c>
      <c r="V84" s="18" t="n">
        <f aca="false">U84*Parametros!$B$11</f>
        <v>20000</v>
      </c>
      <c r="W84" s="18" t="n">
        <f aca="false">(Q84+R84)*Parametros!$B$12</f>
        <v>166666.666666667</v>
      </c>
      <c r="X84" s="18" t="n">
        <f aca="false">Q84*Parametros!$B$13</f>
        <v>73012.7385</v>
      </c>
      <c r="Y84" s="18" t="n">
        <f aca="false">Q84*Parametros!$B$7</f>
        <v>148826.925</v>
      </c>
      <c r="Z84" s="18" t="n">
        <f aca="false">Q84*Parametros!$B$8</f>
        <v>210108.6</v>
      </c>
      <c r="AA84" s="18" t="n">
        <f aca="false">Q84*Parametros!$B$9</f>
        <v>70036.2</v>
      </c>
      <c r="AB84" s="18" t="n">
        <f aca="false">Q84*P84</f>
        <v>9139.7241</v>
      </c>
    </row>
    <row r="85" customFormat="false" ht="15" hidden="false" customHeight="false" outlineLevel="0" collapsed="false">
      <c r="A85" s="14" t="s">
        <v>256</v>
      </c>
      <c r="B85" s="14" t="s">
        <v>212</v>
      </c>
      <c r="C85" s="14" t="s">
        <v>235</v>
      </c>
      <c r="D85" s="14" t="s">
        <v>56</v>
      </c>
      <c r="E85" s="15" t="n">
        <v>31616</v>
      </c>
      <c r="F85" s="14" t="s">
        <v>57</v>
      </c>
      <c r="G85" s="14" t="s">
        <v>58</v>
      </c>
      <c r="H85" s="14" t="s">
        <v>59</v>
      </c>
      <c r="I85" s="14" t="s">
        <v>112</v>
      </c>
      <c r="J85" s="15" t="n">
        <v>45001</v>
      </c>
      <c r="K85" s="15" t="n">
        <v>46143</v>
      </c>
      <c r="L85" s="14" t="s">
        <v>78</v>
      </c>
      <c r="M85" s="14" t="s">
        <v>79</v>
      </c>
      <c r="N85" s="14" t="s">
        <v>63</v>
      </c>
      <c r="O85" s="14" t="s">
        <v>64</v>
      </c>
      <c r="P85" s="16" t="n">
        <v>0.0696</v>
      </c>
      <c r="Q85" s="17" t="n">
        <v>1900000</v>
      </c>
      <c r="R85" s="18" t="n">
        <f aca="false">IF(Q85&lt;=Parametros!$B$4,Parametros!$B$3,0)</f>
        <v>249095</v>
      </c>
      <c r="S85" s="18" t="n">
        <f aca="false">Q85*Parametros!$B$5</f>
        <v>76000</v>
      </c>
      <c r="T85" s="18" t="n">
        <f aca="false">Q85*Parametros!$B$6</f>
        <v>76000</v>
      </c>
      <c r="U85" s="18" t="n">
        <f aca="false">(Q85+R85)*Parametros!$B$10</f>
        <v>179091.25</v>
      </c>
      <c r="V85" s="18" t="n">
        <f aca="false">U85*Parametros!$B$11</f>
        <v>21490.95</v>
      </c>
      <c r="W85" s="18" t="n">
        <f aca="false">(Q85+R85)*Parametros!$B$12</f>
        <v>179091.25</v>
      </c>
      <c r="X85" s="18" t="n">
        <f aca="false">Q85*Parametros!$B$13</f>
        <v>79230</v>
      </c>
      <c r="Y85" s="18" t="n">
        <f aca="false">Q85*Parametros!$B$7</f>
        <v>161500</v>
      </c>
      <c r="Z85" s="18" t="n">
        <f aca="false">Q85*Parametros!$B$8</f>
        <v>228000</v>
      </c>
      <c r="AA85" s="18" t="n">
        <f aca="false">Q85*Parametros!$B$9</f>
        <v>76000</v>
      </c>
      <c r="AB85" s="18" t="n">
        <f aca="false">Q85*P85</f>
        <v>132240</v>
      </c>
    </row>
    <row r="86" customFormat="false" ht="15" hidden="false" customHeight="false" outlineLevel="0" collapsed="false">
      <c r="A86" s="14" t="s">
        <v>257</v>
      </c>
      <c r="B86" s="14" t="s">
        <v>212</v>
      </c>
      <c r="C86" s="14" t="s">
        <v>166</v>
      </c>
      <c r="D86" s="14" t="s">
        <v>77</v>
      </c>
      <c r="E86" s="15" t="n">
        <v>26588</v>
      </c>
      <c r="F86" s="14" t="s">
        <v>57</v>
      </c>
      <c r="G86" s="14" t="s">
        <v>58</v>
      </c>
      <c r="H86" s="14" t="s">
        <v>59</v>
      </c>
      <c r="I86" s="14" t="s">
        <v>258</v>
      </c>
      <c r="J86" s="15" t="n">
        <v>45440</v>
      </c>
      <c r="K86" s="15"/>
      <c r="L86" s="14" t="s">
        <v>86</v>
      </c>
      <c r="M86" s="14" t="s">
        <v>98</v>
      </c>
      <c r="N86" s="14" t="s">
        <v>63</v>
      </c>
      <c r="O86" s="14" t="s">
        <v>64</v>
      </c>
      <c r="P86" s="16" t="n">
        <v>0.00522</v>
      </c>
      <c r="Q86" s="17" t="n">
        <v>6800000</v>
      </c>
      <c r="R86" s="18" t="n">
        <f aca="false">IF(Q86&lt;=Parametros!$B$4,Parametros!$B$3,0)</f>
        <v>0</v>
      </c>
      <c r="S86" s="18" t="n">
        <f aca="false">Q86*Parametros!$B$5</f>
        <v>272000</v>
      </c>
      <c r="T86" s="18" t="n">
        <f aca="false">Q86*Parametros!$B$6</f>
        <v>272000</v>
      </c>
      <c r="U86" s="18" t="n">
        <f aca="false">(Q86+R86)*Parametros!$B$10</f>
        <v>566666.666666667</v>
      </c>
      <c r="V86" s="18" t="n">
        <f aca="false">U86*Parametros!$B$11</f>
        <v>68000</v>
      </c>
      <c r="W86" s="18" t="n">
        <f aca="false">(Q86+R86)*Parametros!$B$12</f>
        <v>566666.666666667</v>
      </c>
      <c r="X86" s="18" t="n">
        <f aca="false">Q86*Parametros!$B$13</f>
        <v>283560</v>
      </c>
      <c r="Y86" s="18" t="n">
        <f aca="false">Q86*Parametros!$B$7</f>
        <v>578000</v>
      </c>
      <c r="Z86" s="18" t="n">
        <f aca="false">Q86*Parametros!$B$8</f>
        <v>816000</v>
      </c>
      <c r="AA86" s="18" t="n">
        <f aca="false">Q86*Parametros!$B$9</f>
        <v>272000</v>
      </c>
      <c r="AB86" s="18" t="n">
        <f aca="false">Q86*P86</f>
        <v>35496</v>
      </c>
    </row>
    <row r="87" customFormat="false" ht="15" hidden="false" customHeight="false" outlineLevel="0" collapsed="false">
      <c r="A87" s="14" t="s">
        <v>259</v>
      </c>
      <c r="B87" s="14" t="s">
        <v>88</v>
      </c>
      <c r="C87" s="14" t="s">
        <v>85</v>
      </c>
      <c r="D87" s="14" t="s">
        <v>56</v>
      </c>
      <c r="E87" s="15" t="n">
        <v>36171</v>
      </c>
      <c r="F87" s="14" t="s">
        <v>57</v>
      </c>
      <c r="G87" s="14" t="s">
        <v>58</v>
      </c>
      <c r="H87" s="14" t="s">
        <v>59</v>
      </c>
      <c r="I87" s="14" t="s">
        <v>93</v>
      </c>
      <c r="J87" s="15" t="n">
        <v>45440</v>
      </c>
      <c r="K87" s="15"/>
      <c r="L87" s="14" t="s">
        <v>86</v>
      </c>
      <c r="M87" s="14" t="s">
        <v>73</v>
      </c>
      <c r="N87" s="14" t="s">
        <v>63</v>
      </c>
      <c r="O87" s="14" t="s">
        <v>83</v>
      </c>
      <c r="P87" s="16" t="n">
        <v>0.00522</v>
      </c>
      <c r="Q87" s="17" t="n">
        <v>2000000</v>
      </c>
      <c r="R87" s="18" t="n">
        <f aca="false">IF(Q87&lt;=Parametros!$B$4,Parametros!$B$3,0)</f>
        <v>249095</v>
      </c>
      <c r="S87" s="18" t="n">
        <f aca="false">Q87*Parametros!$B$5</f>
        <v>80000</v>
      </c>
      <c r="T87" s="18" t="n">
        <f aca="false">Q87*Parametros!$B$6</f>
        <v>80000</v>
      </c>
      <c r="U87" s="18" t="n">
        <f aca="false">(Q87+R87)*Parametros!$B$10</f>
        <v>187424.583333333</v>
      </c>
      <c r="V87" s="18" t="n">
        <f aca="false">U87*Parametros!$B$11</f>
        <v>22490.95</v>
      </c>
      <c r="W87" s="18" t="n">
        <f aca="false">(Q87+R87)*Parametros!$B$12</f>
        <v>187424.583333333</v>
      </c>
      <c r="X87" s="18" t="n">
        <f aca="false">Q87*Parametros!$B$13</f>
        <v>83400</v>
      </c>
      <c r="Y87" s="18" t="n">
        <f aca="false">Q87*Parametros!$B$7</f>
        <v>170000</v>
      </c>
      <c r="Z87" s="18" t="n">
        <f aca="false">Q87*Parametros!$B$8</f>
        <v>240000</v>
      </c>
      <c r="AA87" s="18" t="n">
        <f aca="false">Q87*Parametros!$B$9</f>
        <v>80000</v>
      </c>
      <c r="AB87" s="18" t="n">
        <f aca="false">Q87*P87</f>
        <v>10440</v>
      </c>
    </row>
    <row r="88" customFormat="false" ht="15" hidden="false" customHeight="false" outlineLevel="0" collapsed="false">
      <c r="A88" s="14" t="s">
        <v>260</v>
      </c>
      <c r="B88" s="14" t="s">
        <v>185</v>
      </c>
      <c r="C88" s="14" t="s">
        <v>103</v>
      </c>
      <c r="D88" s="14" t="s">
        <v>56</v>
      </c>
      <c r="E88" s="15" t="n">
        <v>29584</v>
      </c>
      <c r="F88" s="14" t="s">
        <v>57</v>
      </c>
      <c r="G88" s="14" t="s">
        <v>58</v>
      </c>
      <c r="H88" s="14" t="s">
        <v>59</v>
      </c>
      <c r="I88" s="14" t="s">
        <v>112</v>
      </c>
      <c r="J88" s="15" t="n">
        <v>45689</v>
      </c>
      <c r="K88" s="15"/>
      <c r="L88" s="14" t="s">
        <v>97</v>
      </c>
      <c r="M88" s="14" t="s">
        <v>79</v>
      </c>
      <c r="N88" s="14" t="s">
        <v>63</v>
      </c>
      <c r="O88" s="14" t="s">
        <v>64</v>
      </c>
      <c r="P88" s="16" t="n">
        <v>0.0696</v>
      </c>
      <c r="Q88" s="17" t="n">
        <v>1900000</v>
      </c>
      <c r="R88" s="18" t="n">
        <f aca="false">IF(Q88&lt;=Parametros!$B$4,Parametros!$B$3,0)</f>
        <v>249095</v>
      </c>
      <c r="S88" s="18" t="n">
        <f aca="false">Q88*Parametros!$B$5</f>
        <v>76000</v>
      </c>
      <c r="T88" s="18" t="n">
        <f aca="false">Q88*Parametros!$B$6</f>
        <v>76000</v>
      </c>
      <c r="U88" s="18" t="n">
        <f aca="false">(Q88+R88)*Parametros!$B$10</f>
        <v>179091.25</v>
      </c>
      <c r="V88" s="18" t="n">
        <f aca="false">U88*Parametros!$B$11</f>
        <v>21490.95</v>
      </c>
      <c r="W88" s="18" t="n">
        <f aca="false">(Q88+R88)*Parametros!$B$12</f>
        <v>179091.25</v>
      </c>
      <c r="X88" s="18" t="n">
        <f aca="false">Q88*Parametros!$B$13</f>
        <v>79230</v>
      </c>
      <c r="Y88" s="18" t="n">
        <f aca="false">Q88*Parametros!$B$7</f>
        <v>161500</v>
      </c>
      <c r="Z88" s="18" t="n">
        <f aca="false">Q88*Parametros!$B$8</f>
        <v>228000</v>
      </c>
      <c r="AA88" s="18" t="n">
        <f aca="false">Q88*Parametros!$B$9</f>
        <v>76000</v>
      </c>
      <c r="AB88" s="18" t="n">
        <f aca="false">Q88*P88</f>
        <v>132240</v>
      </c>
    </row>
    <row r="89" customFormat="false" ht="15" hidden="false" customHeight="false" outlineLevel="0" collapsed="false">
      <c r="A89" s="14" t="s">
        <v>261</v>
      </c>
      <c r="B89" s="14" t="s">
        <v>199</v>
      </c>
      <c r="C89" s="14" t="s">
        <v>191</v>
      </c>
      <c r="D89" s="14" t="s">
        <v>77</v>
      </c>
      <c r="E89" s="15" t="n">
        <v>27307</v>
      </c>
      <c r="F89" s="14" t="s">
        <v>57</v>
      </c>
      <c r="G89" s="14" t="s">
        <v>58</v>
      </c>
      <c r="H89" s="14" t="s">
        <v>59</v>
      </c>
      <c r="I89" s="14" t="s">
        <v>262</v>
      </c>
      <c r="J89" s="15" t="n">
        <v>43831</v>
      </c>
      <c r="K89" s="15"/>
      <c r="L89" s="14" t="s">
        <v>97</v>
      </c>
      <c r="M89" s="14" t="s">
        <v>62</v>
      </c>
      <c r="N89" s="14" t="s">
        <v>63</v>
      </c>
      <c r="O89" s="14" t="s">
        <v>64</v>
      </c>
      <c r="P89" s="16" t="n">
        <v>0.00522</v>
      </c>
      <c r="Q89" s="17" t="n">
        <v>3800000</v>
      </c>
      <c r="R89" s="18" t="n">
        <f aca="false">IF(Q89&lt;=Parametros!$B$4,Parametros!$B$3,0)</f>
        <v>0</v>
      </c>
      <c r="S89" s="18" t="n">
        <f aca="false">Q89*Parametros!$B$5</f>
        <v>152000</v>
      </c>
      <c r="T89" s="18" t="n">
        <f aca="false">Q89*Parametros!$B$6</f>
        <v>152000</v>
      </c>
      <c r="U89" s="18" t="n">
        <f aca="false">(Q89+R89)*Parametros!$B$10</f>
        <v>316666.666666667</v>
      </c>
      <c r="V89" s="18" t="n">
        <f aca="false">U89*Parametros!$B$11</f>
        <v>38000</v>
      </c>
      <c r="W89" s="18" t="n">
        <f aca="false">(Q89+R89)*Parametros!$B$12</f>
        <v>316666.666666667</v>
      </c>
      <c r="X89" s="18" t="n">
        <f aca="false">Q89*Parametros!$B$13</f>
        <v>158460</v>
      </c>
      <c r="Y89" s="18" t="n">
        <f aca="false">Q89*Parametros!$B$7</f>
        <v>323000</v>
      </c>
      <c r="Z89" s="18" t="n">
        <f aca="false">Q89*Parametros!$B$8</f>
        <v>456000</v>
      </c>
      <c r="AA89" s="18" t="n">
        <f aca="false">Q89*Parametros!$B$9</f>
        <v>152000</v>
      </c>
      <c r="AB89" s="18" t="n">
        <f aca="false">Q89*P89</f>
        <v>19836</v>
      </c>
    </row>
    <row r="90" customFormat="false" ht="15" hidden="false" customHeight="false" outlineLevel="0" collapsed="false">
      <c r="A90" s="14" t="s">
        <v>263</v>
      </c>
      <c r="B90" s="14" t="s">
        <v>199</v>
      </c>
      <c r="C90" s="14" t="s">
        <v>114</v>
      </c>
      <c r="D90" s="14" t="s">
        <v>56</v>
      </c>
      <c r="E90" s="15" t="n">
        <v>29538</v>
      </c>
      <c r="F90" s="14" t="s">
        <v>57</v>
      </c>
      <c r="G90" s="14" t="s">
        <v>58</v>
      </c>
      <c r="H90" s="14" t="s">
        <v>59</v>
      </c>
      <c r="I90" s="14" t="s">
        <v>93</v>
      </c>
      <c r="J90" s="15" t="n">
        <v>46196</v>
      </c>
      <c r="K90" s="15"/>
      <c r="L90" s="14" t="s">
        <v>86</v>
      </c>
      <c r="M90" s="14" t="s">
        <v>73</v>
      </c>
      <c r="N90" s="14" t="s">
        <v>63</v>
      </c>
      <c r="O90" s="14" t="s">
        <v>64</v>
      </c>
      <c r="P90" s="16" t="n">
        <v>0.00522</v>
      </c>
      <c r="Q90" s="17" t="n">
        <v>2000000</v>
      </c>
      <c r="R90" s="18" t="n">
        <f aca="false">IF(Q90&lt;=Parametros!$B$4,Parametros!$B$3,0)</f>
        <v>249095</v>
      </c>
      <c r="S90" s="18" t="n">
        <f aca="false">Q90*Parametros!$B$5</f>
        <v>80000</v>
      </c>
      <c r="T90" s="18" t="n">
        <f aca="false">Q90*Parametros!$B$6</f>
        <v>80000</v>
      </c>
      <c r="U90" s="18" t="n">
        <f aca="false">(Q90+R90)*Parametros!$B$10</f>
        <v>187424.583333333</v>
      </c>
      <c r="V90" s="18" t="n">
        <f aca="false">U90*Parametros!$B$11</f>
        <v>22490.95</v>
      </c>
      <c r="W90" s="18" t="n">
        <f aca="false">(Q90+R90)*Parametros!$B$12</f>
        <v>187424.583333333</v>
      </c>
      <c r="X90" s="18" t="n">
        <f aca="false">Q90*Parametros!$B$13</f>
        <v>83400</v>
      </c>
      <c r="Y90" s="18" t="n">
        <f aca="false">Q90*Parametros!$B$7</f>
        <v>170000</v>
      </c>
      <c r="Z90" s="18" t="n">
        <f aca="false">Q90*Parametros!$B$8</f>
        <v>240000</v>
      </c>
      <c r="AA90" s="18" t="n">
        <f aca="false">Q90*Parametros!$B$9</f>
        <v>80000</v>
      </c>
      <c r="AB90" s="18" t="n">
        <f aca="false">Q90*P90</f>
        <v>10440</v>
      </c>
    </row>
    <row r="91" customFormat="false" ht="15" hidden="false" customHeight="false" outlineLevel="0" collapsed="false">
      <c r="A91" s="14" t="s">
        <v>264</v>
      </c>
      <c r="B91" s="14" t="s">
        <v>265</v>
      </c>
      <c r="C91" s="14" t="s">
        <v>266</v>
      </c>
      <c r="D91" s="14" t="s">
        <v>77</v>
      </c>
      <c r="E91" s="15" t="n">
        <v>25955</v>
      </c>
      <c r="F91" s="14" t="s">
        <v>57</v>
      </c>
      <c r="G91" s="14" t="s">
        <v>58</v>
      </c>
      <c r="H91" s="14" t="s">
        <v>59</v>
      </c>
      <c r="I91" s="14" t="s">
        <v>112</v>
      </c>
      <c r="J91" s="15" t="n">
        <v>46082</v>
      </c>
      <c r="K91" s="15" t="n">
        <v>46082</v>
      </c>
      <c r="L91" s="14" t="s">
        <v>78</v>
      </c>
      <c r="M91" s="14" t="s">
        <v>73</v>
      </c>
      <c r="N91" s="14" t="s">
        <v>63</v>
      </c>
      <c r="O91" s="14" t="s">
        <v>64</v>
      </c>
      <c r="P91" s="16" t="n">
        <v>0.0696</v>
      </c>
      <c r="Q91" s="17" t="n">
        <v>1900000</v>
      </c>
      <c r="R91" s="18" t="n">
        <f aca="false">IF(Q91&lt;=Parametros!$B$4,Parametros!$B$3,0)</f>
        <v>249095</v>
      </c>
      <c r="S91" s="18" t="n">
        <f aca="false">Q91*Parametros!$B$5</f>
        <v>76000</v>
      </c>
      <c r="T91" s="18" t="n">
        <f aca="false">Q91*Parametros!$B$6</f>
        <v>76000</v>
      </c>
      <c r="U91" s="18" t="n">
        <f aca="false">(Q91+R91)*Parametros!$B$10</f>
        <v>179091.25</v>
      </c>
      <c r="V91" s="18" t="n">
        <f aca="false">U91*Parametros!$B$11</f>
        <v>21490.95</v>
      </c>
      <c r="W91" s="18" t="n">
        <f aca="false">(Q91+R91)*Parametros!$B$12</f>
        <v>179091.25</v>
      </c>
      <c r="X91" s="18" t="n">
        <f aca="false">Q91*Parametros!$B$13</f>
        <v>79230</v>
      </c>
      <c r="Y91" s="18" t="n">
        <f aca="false">Q91*Parametros!$B$7</f>
        <v>161500</v>
      </c>
      <c r="Z91" s="18" t="n">
        <f aca="false">Q91*Parametros!$B$8</f>
        <v>228000</v>
      </c>
      <c r="AA91" s="18" t="n">
        <f aca="false">Q91*Parametros!$B$9</f>
        <v>76000</v>
      </c>
      <c r="AB91" s="18" t="n">
        <f aca="false">Q91*P91</f>
        <v>132240</v>
      </c>
    </row>
    <row r="92" customFormat="false" ht="15" hidden="false" customHeight="false" outlineLevel="0" collapsed="false">
      <c r="A92" s="14" t="s">
        <v>267</v>
      </c>
      <c r="B92" s="14" t="s">
        <v>91</v>
      </c>
      <c r="C92" s="14" t="s">
        <v>268</v>
      </c>
      <c r="D92" s="14" t="s">
        <v>77</v>
      </c>
      <c r="E92" s="15" t="n">
        <v>29803</v>
      </c>
      <c r="F92" s="14" t="s">
        <v>57</v>
      </c>
      <c r="G92" s="14" t="s">
        <v>58</v>
      </c>
      <c r="H92" s="14" t="s">
        <v>59</v>
      </c>
      <c r="I92" s="14" t="s">
        <v>128</v>
      </c>
      <c r="J92" s="15" t="n">
        <v>45727</v>
      </c>
      <c r="K92" s="15"/>
      <c r="L92" s="14" t="s">
        <v>97</v>
      </c>
      <c r="M92" s="14" t="s">
        <v>73</v>
      </c>
      <c r="N92" s="14" t="s">
        <v>63</v>
      </c>
      <c r="O92" s="14" t="s">
        <v>64</v>
      </c>
      <c r="P92" s="16" t="n">
        <v>0.00522</v>
      </c>
      <c r="Q92" s="17" t="n">
        <v>1750905</v>
      </c>
      <c r="R92" s="18" t="n">
        <f aca="false">IF(Q92&lt;=Parametros!$B$4,Parametros!$B$3,0)</f>
        <v>249095</v>
      </c>
      <c r="S92" s="18" t="n">
        <f aca="false">Q92*Parametros!$B$5</f>
        <v>70036.2</v>
      </c>
      <c r="T92" s="18" t="n">
        <f aca="false">Q92*Parametros!$B$6</f>
        <v>70036.2</v>
      </c>
      <c r="U92" s="18" t="n">
        <f aca="false">(Q92+R92)*Parametros!$B$10</f>
        <v>166666.666666667</v>
      </c>
      <c r="V92" s="18" t="n">
        <f aca="false">U92*Parametros!$B$11</f>
        <v>20000</v>
      </c>
      <c r="W92" s="18" t="n">
        <f aca="false">(Q92+R92)*Parametros!$B$12</f>
        <v>166666.666666667</v>
      </c>
      <c r="X92" s="18" t="n">
        <f aca="false">Q92*Parametros!$B$13</f>
        <v>73012.7385</v>
      </c>
      <c r="Y92" s="18" t="n">
        <f aca="false">Q92*Parametros!$B$7</f>
        <v>148826.925</v>
      </c>
      <c r="Z92" s="18" t="n">
        <f aca="false">Q92*Parametros!$B$8</f>
        <v>210108.6</v>
      </c>
      <c r="AA92" s="18" t="n">
        <f aca="false">Q92*Parametros!$B$9</f>
        <v>70036.2</v>
      </c>
      <c r="AB92" s="18" t="n">
        <f aca="false">Q92*P92</f>
        <v>9139.7241</v>
      </c>
    </row>
    <row r="93" customFormat="false" ht="15" hidden="false" customHeight="false" outlineLevel="0" collapsed="false">
      <c r="A93" s="14" t="s">
        <v>269</v>
      </c>
      <c r="B93" s="14" t="s">
        <v>133</v>
      </c>
      <c r="C93" s="14" t="s">
        <v>55</v>
      </c>
      <c r="D93" s="14" t="s">
        <v>56</v>
      </c>
      <c r="E93" s="15" t="n">
        <v>24295</v>
      </c>
      <c r="F93" s="14" t="s">
        <v>57</v>
      </c>
      <c r="G93" s="14" t="s">
        <v>58</v>
      </c>
      <c r="H93" s="14" t="s">
        <v>59</v>
      </c>
      <c r="I93" s="14" t="s">
        <v>112</v>
      </c>
      <c r="J93" s="15" t="n">
        <v>45895</v>
      </c>
      <c r="K93" s="15"/>
      <c r="L93" s="14" t="s">
        <v>78</v>
      </c>
      <c r="M93" s="14" t="s">
        <v>79</v>
      </c>
      <c r="N93" s="14" t="s">
        <v>63</v>
      </c>
      <c r="O93" s="14" t="s">
        <v>64</v>
      </c>
      <c r="P93" s="16" t="n">
        <v>0.0696</v>
      </c>
      <c r="Q93" s="17" t="n">
        <v>1900000</v>
      </c>
      <c r="R93" s="18" t="n">
        <f aca="false">IF(Q93&lt;=Parametros!$B$4,Parametros!$B$3,0)</f>
        <v>249095</v>
      </c>
      <c r="S93" s="18" t="n">
        <f aca="false">Q93*Parametros!$B$5</f>
        <v>76000</v>
      </c>
      <c r="T93" s="18" t="n">
        <f aca="false">Q93*Parametros!$B$6</f>
        <v>76000</v>
      </c>
      <c r="U93" s="18" t="n">
        <f aca="false">(Q93+R93)*Parametros!$B$10</f>
        <v>179091.25</v>
      </c>
      <c r="V93" s="18" t="n">
        <f aca="false">U93*Parametros!$B$11</f>
        <v>21490.95</v>
      </c>
      <c r="W93" s="18" t="n">
        <f aca="false">(Q93+R93)*Parametros!$B$12</f>
        <v>179091.25</v>
      </c>
      <c r="X93" s="18" t="n">
        <f aca="false">Q93*Parametros!$B$13</f>
        <v>79230</v>
      </c>
      <c r="Y93" s="18" t="n">
        <f aca="false">Q93*Parametros!$B$7</f>
        <v>161500</v>
      </c>
      <c r="Z93" s="18" t="n">
        <f aca="false">Q93*Parametros!$B$8</f>
        <v>228000</v>
      </c>
      <c r="AA93" s="18" t="n">
        <f aca="false">Q93*Parametros!$B$9</f>
        <v>76000</v>
      </c>
      <c r="AB93" s="18" t="n">
        <f aca="false">Q93*P93</f>
        <v>132240</v>
      </c>
    </row>
    <row r="94" customFormat="false" ht="15" hidden="false" customHeight="false" outlineLevel="0" collapsed="false">
      <c r="A94" s="14" t="s">
        <v>270</v>
      </c>
      <c r="B94" s="14" t="s">
        <v>196</v>
      </c>
      <c r="C94" s="14" t="s">
        <v>271</v>
      </c>
      <c r="D94" s="14" t="s">
        <v>77</v>
      </c>
      <c r="E94" s="15" t="n">
        <v>29463</v>
      </c>
      <c r="F94" s="14" t="s">
        <v>57</v>
      </c>
      <c r="G94" s="14" t="s">
        <v>58</v>
      </c>
      <c r="H94" s="14" t="s">
        <v>59</v>
      </c>
      <c r="I94" s="14" t="s">
        <v>60</v>
      </c>
      <c r="J94" s="15" t="n">
        <v>43741</v>
      </c>
      <c r="K94" s="15"/>
      <c r="L94" s="14" t="s">
        <v>86</v>
      </c>
      <c r="M94" s="14" t="s">
        <v>98</v>
      </c>
      <c r="N94" s="14" t="s">
        <v>63</v>
      </c>
      <c r="O94" s="14" t="s">
        <v>64</v>
      </c>
      <c r="P94" s="16" t="n">
        <v>0.0435</v>
      </c>
      <c r="Q94" s="17" t="n">
        <v>1750905</v>
      </c>
      <c r="R94" s="18" t="n">
        <f aca="false">IF(Q94&lt;=Parametros!$B$4,Parametros!$B$3,0)</f>
        <v>249095</v>
      </c>
      <c r="S94" s="18" t="n">
        <f aca="false">Q94*Parametros!$B$5</f>
        <v>70036.2</v>
      </c>
      <c r="T94" s="18" t="n">
        <f aca="false">Q94*Parametros!$B$6</f>
        <v>70036.2</v>
      </c>
      <c r="U94" s="18" t="n">
        <f aca="false">(Q94+R94)*Parametros!$B$10</f>
        <v>166666.666666667</v>
      </c>
      <c r="V94" s="18" t="n">
        <f aca="false">U94*Parametros!$B$11</f>
        <v>20000</v>
      </c>
      <c r="W94" s="18" t="n">
        <f aca="false">(Q94+R94)*Parametros!$B$12</f>
        <v>166666.666666667</v>
      </c>
      <c r="X94" s="18" t="n">
        <f aca="false">Q94*Parametros!$B$13</f>
        <v>73012.7385</v>
      </c>
      <c r="Y94" s="18" t="n">
        <f aca="false">Q94*Parametros!$B$7</f>
        <v>148826.925</v>
      </c>
      <c r="Z94" s="18" t="n">
        <f aca="false">Q94*Parametros!$B$8</f>
        <v>210108.6</v>
      </c>
      <c r="AA94" s="18" t="n">
        <f aca="false">Q94*Parametros!$B$9</f>
        <v>70036.2</v>
      </c>
      <c r="AB94" s="18" t="n">
        <f aca="false">Q94*P94</f>
        <v>76164.3675</v>
      </c>
    </row>
    <row r="95" customFormat="false" ht="15" hidden="false" customHeight="false" outlineLevel="0" collapsed="false">
      <c r="A95" s="14" t="s">
        <v>272</v>
      </c>
      <c r="B95" s="14" t="s">
        <v>214</v>
      </c>
      <c r="C95" s="14" t="s">
        <v>245</v>
      </c>
      <c r="D95" s="14" t="s">
        <v>56</v>
      </c>
      <c r="E95" s="15" t="n">
        <v>33246</v>
      </c>
      <c r="F95" s="14" t="s">
        <v>57</v>
      </c>
      <c r="G95" s="14" t="s">
        <v>107</v>
      </c>
      <c r="H95" s="14" t="s">
        <v>108</v>
      </c>
      <c r="I95" s="14" t="s">
        <v>128</v>
      </c>
      <c r="J95" s="15" t="n">
        <v>45397</v>
      </c>
      <c r="K95" s="15"/>
      <c r="L95" s="14" t="s">
        <v>97</v>
      </c>
      <c r="M95" s="14" t="s">
        <v>73</v>
      </c>
      <c r="N95" s="14" t="s">
        <v>63</v>
      </c>
      <c r="O95" s="14" t="s">
        <v>64</v>
      </c>
      <c r="P95" s="16" t="n">
        <v>0.00522</v>
      </c>
      <c r="Q95" s="17" t="n">
        <v>1750905</v>
      </c>
      <c r="R95" s="18" t="n">
        <f aca="false">IF(Q95&lt;=Parametros!$B$4,Parametros!$B$3,0)</f>
        <v>249095</v>
      </c>
      <c r="S95" s="18" t="n">
        <f aca="false">Q95*Parametros!$B$5</f>
        <v>70036.2</v>
      </c>
      <c r="T95" s="18" t="n">
        <f aca="false">Q95*Parametros!$B$6</f>
        <v>70036.2</v>
      </c>
      <c r="U95" s="18" t="n">
        <f aca="false">(Q95+R95)*Parametros!$B$10</f>
        <v>166666.666666667</v>
      </c>
      <c r="V95" s="18" t="n">
        <f aca="false">U95*Parametros!$B$11</f>
        <v>20000</v>
      </c>
      <c r="W95" s="18" t="n">
        <f aca="false">(Q95+R95)*Parametros!$B$12</f>
        <v>166666.666666667</v>
      </c>
      <c r="X95" s="18" t="n">
        <f aca="false">Q95*Parametros!$B$13</f>
        <v>73012.7385</v>
      </c>
      <c r="Y95" s="18" t="n">
        <f aca="false">Q95*Parametros!$B$7</f>
        <v>148826.925</v>
      </c>
      <c r="Z95" s="18" t="n">
        <f aca="false">Q95*Parametros!$B$8</f>
        <v>210108.6</v>
      </c>
      <c r="AA95" s="18" t="n">
        <f aca="false">Q95*Parametros!$B$9</f>
        <v>70036.2</v>
      </c>
      <c r="AB95" s="18" t="n">
        <f aca="false">Q95*P95</f>
        <v>9139.7241</v>
      </c>
    </row>
    <row r="96" customFormat="false" ht="15" hidden="false" customHeight="false" outlineLevel="0" collapsed="false">
      <c r="A96" s="14" t="s">
        <v>273</v>
      </c>
      <c r="B96" s="14" t="s">
        <v>155</v>
      </c>
      <c r="C96" s="14" t="s">
        <v>178</v>
      </c>
      <c r="D96" s="14" t="s">
        <v>56</v>
      </c>
      <c r="E96" s="15" t="n">
        <v>34260</v>
      </c>
      <c r="F96" s="14" t="s">
        <v>57</v>
      </c>
      <c r="G96" s="14" t="s">
        <v>58</v>
      </c>
      <c r="H96" s="14" t="s">
        <v>59</v>
      </c>
      <c r="I96" s="14" t="s">
        <v>112</v>
      </c>
      <c r="J96" s="15" t="n">
        <v>46071</v>
      </c>
      <c r="K96" s="15"/>
      <c r="L96" s="14" t="s">
        <v>86</v>
      </c>
      <c r="M96" s="14" t="s">
        <v>62</v>
      </c>
      <c r="N96" s="14" t="s">
        <v>63</v>
      </c>
      <c r="O96" s="14" t="s">
        <v>64</v>
      </c>
      <c r="P96" s="16" t="n">
        <v>0.0696</v>
      </c>
      <c r="Q96" s="17" t="n">
        <v>1900000</v>
      </c>
      <c r="R96" s="18" t="n">
        <f aca="false">IF(Q96&lt;=Parametros!$B$4,Parametros!$B$3,0)</f>
        <v>249095</v>
      </c>
      <c r="S96" s="18" t="n">
        <f aca="false">Q96*Parametros!$B$5</f>
        <v>76000</v>
      </c>
      <c r="T96" s="18" t="n">
        <f aca="false">Q96*Parametros!$B$6</f>
        <v>76000</v>
      </c>
      <c r="U96" s="18" t="n">
        <f aca="false">(Q96+R96)*Parametros!$B$10</f>
        <v>179091.25</v>
      </c>
      <c r="V96" s="18" t="n">
        <f aca="false">U96*Parametros!$B$11</f>
        <v>21490.95</v>
      </c>
      <c r="W96" s="18" t="n">
        <f aca="false">(Q96+R96)*Parametros!$B$12</f>
        <v>179091.25</v>
      </c>
      <c r="X96" s="18" t="n">
        <f aca="false">Q96*Parametros!$B$13</f>
        <v>79230</v>
      </c>
      <c r="Y96" s="18" t="n">
        <f aca="false">Q96*Parametros!$B$7</f>
        <v>161500</v>
      </c>
      <c r="Z96" s="18" t="n">
        <f aca="false">Q96*Parametros!$B$8</f>
        <v>228000</v>
      </c>
      <c r="AA96" s="18" t="n">
        <f aca="false">Q96*Parametros!$B$9</f>
        <v>76000</v>
      </c>
      <c r="AB96" s="18" t="n">
        <f aca="false">Q96*P96</f>
        <v>132240</v>
      </c>
    </row>
    <row r="97" customFormat="false" ht="15" hidden="false" customHeight="false" outlineLevel="0" collapsed="false">
      <c r="A97" s="14" t="s">
        <v>274</v>
      </c>
      <c r="B97" s="14" t="s">
        <v>199</v>
      </c>
      <c r="C97" s="14" t="s">
        <v>275</v>
      </c>
      <c r="D97" s="14" t="s">
        <v>56</v>
      </c>
      <c r="E97" s="15" t="n">
        <v>32559</v>
      </c>
      <c r="F97" s="14" t="s">
        <v>57</v>
      </c>
      <c r="G97" s="14" t="s">
        <v>58</v>
      </c>
      <c r="H97" s="14" t="s">
        <v>59</v>
      </c>
      <c r="I97" s="14" t="s">
        <v>60</v>
      </c>
      <c r="J97" s="15" t="n">
        <v>44440</v>
      </c>
      <c r="K97" s="15"/>
      <c r="L97" s="14" t="s">
        <v>86</v>
      </c>
      <c r="M97" s="14" t="s">
        <v>62</v>
      </c>
      <c r="N97" s="14" t="s">
        <v>63</v>
      </c>
      <c r="O97" s="14" t="s">
        <v>64</v>
      </c>
      <c r="P97" s="16" t="n">
        <v>0.0435</v>
      </c>
      <c r="Q97" s="17" t="n">
        <v>1750905</v>
      </c>
      <c r="R97" s="18" t="n">
        <f aca="false">IF(Q97&lt;=Parametros!$B$4,Parametros!$B$3,0)</f>
        <v>249095</v>
      </c>
      <c r="S97" s="18" t="n">
        <f aca="false">Q97*Parametros!$B$5</f>
        <v>70036.2</v>
      </c>
      <c r="T97" s="18" t="n">
        <f aca="false">Q97*Parametros!$B$6</f>
        <v>70036.2</v>
      </c>
      <c r="U97" s="18" t="n">
        <f aca="false">(Q97+R97)*Parametros!$B$10</f>
        <v>166666.666666667</v>
      </c>
      <c r="V97" s="18" t="n">
        <f aca="false">U97*Parametros!$B$11</f>
        <v>20000</v>
      </c>
      <c r="W97" s="18" t="n">
        <f aca="false">(Q97+R97)*Parametros!$B$12</f>
        <v>166666.666666667</v>
      </c>
      <c r="X97" s="18" t="n">
        <f aca="false">Q97*Parametros!$B$13</f>
        <v>73012.7385</v>
      </c>
      <c r="Y97" s="18" t="n">
        <f aca="false">Q97*Parametros!$B$7</f>
        <v>148826.925</v>
      </c>
      <c r="Z97" s="18" t="n">
        <f aca="false">Q97*Parametros!$B$8</f>
        <v>210108.6</v>
      </c>
      <c r="AA97" s="18" t="n">
        <f aca="false">Q97*Parametros!$B$9</f>
        <v>70036.2</v>
      </c>
      <c r="AB97" s="18" t="n">
        <f aca="false">Q97*P97</f>
        <v>76164.3675</v>
      </c>
    </row>
    <row r="98" customFormat="false" ht="15" hidden="false" customHeight="false" outlineLevel="0" collapsed="false">
      <c r="A98" s="14" t="s">
        <v>276</v>
      </c>
      <c r="B98" s="14" t="s">
        <v>95</v>
      </c>
      <c r="C98" s="14" t="s">
        <v>134</v>
      </c>
      <c r="D98" s="14" t="s">
        <v>77</v>
      </c>
      <c r="E98" s="15" t="n">
        <v>25554</v>
      </c>
      <c r="F98" s="14" t="s">
        <v>57</v>
      </c>
      <c r="G98" s="14" t="s">
        <v>58</v>
      </c>
      <c r="H98" s="14" t="s">
        <v>59</v>
      </c>
      <c r="I98" s="14" t="s">
        <v>147</v>
      </c>
      <c r="J98" s="15" t="n">
        <v>43476</v>
      </c>
      <c r="K98" s="15"/>
      <c r="L98" s="14" t="s">
        <v>86</v>
      </c>
      <c r="M98" s="14" t="s">
        <v>98</v>
      </c>
      <c r="N98" s="14" t="s">
        <v>63</v>
      </c>
      <c r="O98" s="14" t="s">
        <v>64</v>
      </c>
      <c r="P98" s="16" t="n">
        <v>0.00522</v>
      </c>
      <c r="Q98" s="17" t="n">
        <v>1750905</v>
      </c>
      <c r="R98" s="18" t="n">
        <f aca="false">IF(Q98&lt;=Parametros!$B$4,Parametros!$B$3,0)</f>
        <v>249095</v>
      </c>
      <c r="S98" s="18" t="n">
        <f aca="false">Q98*Parametros!$B$5</f>
        <v>70036.2</v>
      </c>
      <c r="T98" s="18" t="n">
        <f aca="false">Q98*Parametros!$B$6</f>
        <v>70036.2</v>
      </c>
      <c r="U98" s="18" t="n">
        <f aca="false">(Q98+R98)*Parametros!$B$10</f>
        <v>166666.666666667</v>
      </c>
      <c r="V98" s="18" t="n">
        <f aca="false">U98*Parametros!$B$11</f>
        <v>20000</v>
      </c>
      <c r="W98" s="18" t="n">
        <f aca="false">(Q98+R98)*Parametros!$B$12</f>
        <v>166666.666666667</v>
      </c>
      <c r="X98" s="18" t="n">
        <f aca="false">Q98*Parametros!$B$13</f>
        <v>73012.7385</v>
      </c>
      <c r="Y98" s="18" t="n">
        <f aca="false">Q98*Parametros!$B$7</f>
        <v>148826.925</v>
      </c>
      <c r="Z98" s="18" t="n">
        <f aca="false">Q98*Parametros!$B$8</f>
        <v>210108.6</v>
      </c>
      <c r="AA98" s="18" t="n">
        <f aca="false">Q98*Parametros!$B$9</f>
        <v>70036.2</v>
      </c>
      <c r="AB98" s="18" t="n">
        <f aca="false">Q98*P98</f>
        <v>9139.7241</v>
      </c>
    </row>
    <row r="99" customFormat="false" ht="15" hidden="false" customHeight="false" outlineLevel="0" collapsed="false">
      <c r="A99" s="14" t="s">
        <v>277</v>
      </c>
      <c r="B99" s="14" t="s">
        <v>278</v>
      </c>
      <c r="C99" s="14" t="s">
        <v>96</v>
      </c>
      <c r="D99" s="14" t="s">
        <v>56</v>
      </c>
      <c r="E99" s="15" t="n">
        <v>30477</v>
      </c>
      <c r="F99" s="14" t="s">
        <v>57</v>
      </c>
      <c r="G99" s="14" t="s">
        <v>58</v>
      </c>
      <c r="H99" s="14" t="s">
        <v>59</v>
      </c>
      <c r="I99" s="14" t="s">
        <v>60</v>
      </c>
      <c r="J99" s="15" t="n">
        <v>45433</v>
      </c>
      <c r="K99" s="15"/>
      <c r="L99" s="14" t="s">
        <v>86</v>
      </c>
      <c r="M99" s="14" t="s">
        <v>98</v>
      </c>
      <c r="N99" s="14" t="s">
        <v>63</v>
      </c>
      <c r="O99" s="14" t="s">
        <v>64</v>
      </c>
      <c r="P99" s="16" t="n">
        <v>0.0435</v>
      </c>
      <c r="Q99" s="17" t="n">
        <v>1750905</v>
      </c>
      <c r="R99" s="18" t="n">
        <f aca="false">IF(Q99&lt;=Parametros!$B$4,Parametros!$B$3,0)</f>
        <v>249095</v>
      </c>
      <c r="S99" s="18" t="n">
        <f aca="false">Q99*Parametros!$B$5</f>
        <v>70036.2</v>
      </c>
      <c r="T99" s="18" t="n">
        <f aca="false">Q99*Parametros!$B$6</f>
        <v>70036.2</v>
      </c>
      <c r="U99" s="18" t="n">
        <f aca="false">(Q99+R99)*Parametros!$B$10</f>
        <v>166666.666666667</v>
      </c>
      <c r="V99" s="18" t="n">
        <f aca="false">U99*Parametros!$B$11</f>
        <v>20000</v>
      </c>
      <c r="W99" s="18" t="n">
        <f aca="false">(Q99+R99)*Parametros!$B$12</f>
        <v>166666.666666667</v>
      </c>
      <c r="X99" s="18" t="n">
        <f aca="false">Q99*Parametros!$B$13</f>
        <v>73012.7385</v>
      </c>
      <c r="Y99" s="18" t="n">
        <f aca="false">Q99*Parametros!$B$7</f>
        <v>148826.925</v>
      </c>
      <c r="Z99" s="18" t="n">
        <f aca="false">Q99*Parametros!$B$8</f>
        <v>210108.6</v>
      </c>
      <c r="AA99" s="18" t="n">
        <f aca="false">Q99*Parametros!$B$9</f>
        <v>70036.2</v>
      </c>
      <c r="AB99" s="18" t="n">
        <f aca="false">Q99*P99</f>
        <v>76164.3675</v>
      </c>
    </row>
    <row r="100" customFormat="false" ht="15" hidden="false" customHeight="false" outlineLevel="0" collapsed="false">
      <c r="A100" s="14" t="s">
        <v>279</v>
      </c>
      <c r="B100" s="14" t="s">
        <v>237</v>
      </c>
      <c r="C100" s="14" t="s">
        <v>114</v>
      </c>
      <c r="D100" s="14" t="s">
        <v>56</v>
      </c>
      <c r="E100" s="15" t="n">
        <v>31271</v>
      </c>
      <c r="F100" s="14" t="s">
        <v>57</v>
      </c>
      <c r="G100" s="14" t="s">
        <v>58</v>
      </c>
      <c r="H100" s="14" t="s">
        <v>59</v>
      </c>
      <c r="I100" s="14" t="s">
        <v>60</v>
      </c>
      <c r="J100" s="15" t="n">
        <v>46062</v>
      </c>
      <c r="K100" s="15"/>
      <c r="L100" s="14" t="s">
        <v>86</v>
      </c>
      <c r="M100" s="14" t="s">
        <v>62</v>
      </c>
      <c r="N100" s="14" t="s">
        <v>63</v>
      </c>
      <c r="O100" s="14" t="s">
        <v>83</v>
      </c>
      <c r="P100" s="16" t="n">
        <v>0.0435</v>
      </c>
      <c r="Q100" s="17" t="n">
        <v>1750905</v>
      </c>
      <c r="R100" s="18" t="n">
        <f aca="false">IF(Q100&lt;=Parametros!$B$4,Parametros!$B$3,0)</f>
        <v>249095</v>
      </c>
      <c r="S100" s="18" t="n">
        <f aca="false">Q100*Parametros!$B$5</f>
        <v>70036.2</v>
      </c>
      <c r="T100" s="18" t="n">
        <f aca="false">Q100*Parametros!$B$6</f>
        <v>70036.2</v>
      </c>
      <c r="U100" s="18" t="n">
        <f aca="false">(Q100+R100)*Parametros!$B$10</f>
        <v>166666.666666667</v>
      </c>
      <c r="V100" s="18" t="n">
        <f aca="false">U100*Parametros!$B$11</f>
        <v>20000</v>
      </c>
      <c r="W100" s="18" t="n">
        <f aca="false">(Q100+R100)*Parametros!$B$12</f>
        <v>166666.666666667</v>
      </c>
      <c r="X100" s="18" t="n">
        <f aca="false">Q100*Parametros!$B$13</f>
        <v>73012.7385</v>
      </c>
      <c r="Y100" s="18" t="n">
        <f aca="false">Q100*Parametros!$B$7</f>
        <v>148826.925</v>
      </c>
      <c r="Z100" s="18" t="n">
        <f aca="false">Q100*Parametros!$B$8</f>
        <v>210108.6</v>
      </c>
      <c r="AA100" s="18" t="n">
        <f aca="false">Q100*Parametros!$B$9</f>
        <v>70036.2</v>
      </c>
      <c r="AB100" s="18" t="n">
        <f aca="false">Q100*P100</f>
        <v>76164.3675</v>
      </c>
    </row>
    <row r="101" customFormat="false" ht="15" hidden="false" customHeight="false" outlineLevel="0" collapsed="false">
      <c r="A101" s="14" t="s">
        <v>280</v>
      </c>
      <c r="B101" s="14" t="s">
        <v>54</v>
      </c>
      <c r="C101" s="14" t="s">
        <v>125</v>
      </c>
      <c r="D101" s="14" t="s">
        <v>56</v>
      </c>
      <c r="E101" s="15" t="n">
        <v>27455</v>
      </c>
      <c r="F101" s="14" t="s">
        <v>57</v>
      </c>
      <c r="G101" s="14" t="s">
        <v>58</v>
      </c>
      <c r="H101" s="14" t="s">
        <v>59</v>
      </c>
      <c r="I101" s="14" t="s">
        <v>112</v>
      </c>
      <c r="J101" s="15" t="n">
        <v>45973</v>
      </c>
      <c r="K101" s="15"/>
      <c r="L101" s="14" t="s">
        <v>78</v>
      </c>
      <c r="M101" s="14" t="s">
        <v>62</v>
      </c>
      <c r="N101" s="14" t="s">
        <v>63</v>
      </c>
      <c r="O101" s="14" t="s">
        <v>64</v>
      </c>
      <c r="P101" s="16" t="n">
        <v>0.0696</v>
      </c>
      <c r="Q101" s="17" t="n">
        <v>1900000</v>
      </c>
      <c r="R101" s="18" t="n">
        <f aca="false">IF(Q101&lt;=Parametros!$B$4,Parametros!$B$3,0)</f>
        <v>249095</v>
      </c>
      <c r="S101" s="18" t="n">
        <f aca="false">Q101*Parametros!$B$5</f>
        <v>76000</v>
      </c>
      <c r="T101" s="18" t="n">
        <f aca="false">Q101*Parametros!$B$6</f>
        <v>76000</v>
      </c>
      <c r="U101" s="18" t="n">
        <f aca="false">(Q101+R101)*Parametros!$B$10</f>
        <v>179091.25</v>
      </c>
      <c r="V101" s="18" t="n">
        <f aca="false">U101*Parametros!$B$11</f>
        <v>21490.95</v>
      </c>
      <c r="W101" s="18" t="n">
        <f aca="false">(Q101+R101)*Parametros!$B$12</f>
        <v>179091.25</v>
      </c>
      <c r="X101" s="18" t="n">
        <f aca="false">Q101*Parametros!$B$13</f>
        <v>79230</v>
      </c>
      <c r="Y101" s="18" t="n">
        <f aca="false">Q101*Parametros!$B$7</f>
        <v>161500</v>
      </c>
      <c r="Z101" s="18" t="n">
        <f aca="false">Q101*Parametros!$B$8</f>
        <v>228000</v>
      </c>
      <c r="AA101" s="18" t="n">
        <f aca="false">Q101*Parametros!$B$9</f>
        <v>76000</v>
      </c>
      <c r="AB101" s="18" t="n">
        <f aca="false">Q101*P101</f>
        <v>132240</v>
      </c>
    </row>
    <row r="102" customFormat="false" ht="15" hidden="false" customHeight="false" outlineLevel="0" collapsed="false">
      <c r="A102" s="14" t="s">
        <v>281</v>
      </c>
      <c r="B102" s="14" t="s">
        <v>278</v>
      </c>
      <c r="C102" s="14" t="s">
        <v>200</v>
      </c>
      <c r="D102" s="14" t="s">
        <v>56</v>
      </c>
      <c r="E102" s="15" t="n">
        <v>36921</v>
      </c>
      <c r="F102" s="14" t="s">
        <v>57</v>
      </c>
      <c r="G102" s="14" t="s">
        <v>58</v>
      </c>
      <c r="H102" s="14" t="s">
        <v>59</v>
      </c>
      <c r="I102" s="14" t="s">
        <v>60</v>
      </c>
      <c r="J102" s="15" t="n">
        <v>46148</v>
      </c>
      <c r="K102" s="15"/>
      <c r="L102" s="14" t="s">
        <v>97</v>
      </c>
      <c r="M102" s="14" t="s">
        <v>73</v>
      </c>
      <c r="N102" s="14" t="s">
        <v>63</v>
      </c>
      <c r="O102" s="14" t="s">
        <v>64</v>
      </c>
      <c r="P102" s="16" t="n">
        <v>0.0435</v>
      </c>
      <c r="Q102" s="17" t="n">
        <v>1750905</v>
      </c>
      <c r="R102" s="18" t="n">
        <f aca="false">IF(Q102&lt;=Parametros!$B$4,Parametros!$B$3,0)</f>
        <v>249095</v>
      </c>
      <c r="S102" s="18" t="n">
        <f aca="false">Q102*Parametros!$B$5</f>
        <v>70036.2</v>
      </c>
      <c r="T102" s="18" t="n">
        <f aca="false">Q102*Parametros!$B$6</f>
        <v>70036.2</v>
      </c>
      <c r="U102" s="18" t="n">
        <f aca="false">(Q102+R102)*Parametros!$B$10</f>
        <v>166666.666666667</v>
      </c>
      <c r="V102" s="18" t="n">
        <f aca="false">U102*Parametros!$B$11</f>
        <v>20000</v>
      </c>
      <c r="W102" s="18" t="n">
        <f aca="false">(Q102+R102)*Parametros!$B$12</f>
        <v>166666.666666667</v>
      </c>
      <c r="X102" s="18" t="n">
        <f aca="false">Q102*Parametros!$B$13</f>
        <v>73012.7385</v>
      </c>
      <c r="Y102" s="18" t="n">
        <f aca="false">Q102*Parametros!$B$7</f>
        <v>148826.925</v>
      </c>
      <c r="Z102" s="18" t="n">
        <f aca="false">Q102*Parametros!$B$8</f>
        <v>210108.6</v>
      </c>
      <c r="AA102" s="18" t="n">
        <f aca="false">Q102*Parametros!$B$9</f>
        <v>70036.2</v>
      </c>
      <c r="AB102" s="18" t="n">
        <f aca="false">Q102*P102</f>
        <v>76164.3675</v>
      </c>
    </row>
    <row r="103" customFormat="false" ht="15" hidden="false" customHeight="false" outlineLevel="0" collapsed="false">
      <c r="A103" s="14" t="s">
        <v>282</v>
      </c>
      <c r="B103" s="14" t="s">
        <v>165</v>
      </c>
      <c r="C103" s="14" t="s">
        <v>283</v>
      </c>
      <c r="D103" s="14" t="s">
        <v>77</v>
      </c>
      <c r="E103" s="15" t="n">
        <v>34454</v>
      </c>
      <c r="F103" s="14" t="s">
        <v>57</v>
      </c>
      <c r="G103" s="14" t="s">
        <v>107</v>
      </c>
      <c r="H103" s="14" t="s">
        <v>108</v>
      </c>
      <c r="I103" s="14" t="s">
        <v>188</v>
      </c>
      <c r="J103" s="15" t="n">
        <v>46091</v>
      </c>
      <c r="K103" s="15" t="n">
        <v>46143</v>
      </c>
      <c r="L103" s="14" t="s">
        <v>86</v>
      </c>
      <c r="M103" s="14" t="s">
        <v>98</v>
      </c>
      <c r="N103" s="14" t="s">
        <v>63</v>
      </c>
      <c r="O103" s="14" t="s">
        <v>64</v>
      </c>
      <c r="P103" s="16" t="n">
        <v>0.0435</v>
      </c>
      <c r="Q103" s="17" t="n">
        <v>2600000</v>
      </c>
      <c r="R103" s="18" t="n">
        <f aca="false">IF(Q103&lt;=Parametros!$B$4,Parametros!$B$3,0)</f>
        <v>249095</v>
      </c>
      <c r="S103" s="18" t="n">
        <f aca="false">Q103*Parametros!$B$5</f>
        <v>104000</v>
      </c>
      <c r="T103" s="18" t="n">
        <f aca="false">Q103*Parametros!$B$6</f>
        <v>104000</v>
      </c>
      <c r="U103" s="18" t="n">
        <f aca="false">(Q103+R103)*Parametros!$B$10</f>
        <v>237424.583333333</v>
      </c>
      <c r="V103" s="18" t="n">
        <f aca="false">U103*Parametros!$B$11</f>
        <v>28490.95</v>
      </c>
      <c r="W103" s="18" t="n">
        <f aca="false">(Q103+R103)*Parametros!$B$12</f>
        <v>237424.583333333</v>
      </c>
      <c r="X103" s="18" t="n">
        <f aca="false">Q103*Parametros!$B$13</f>
        <v>108420</v>
      </c>
      <c r="Y103" s="18" t="n">
        <f aca="false">Q103*Parametros!$B$7</f>
        <v>221000</v>
      </c>
      <c r="Z103" s="18" t="n">
        <f aca="false">Q103*Parametros!$B$8</f>
        <v>312000</v>
      </c>
      <c r="AA103" s="18" t="n">
        <f aca="false">Q103*Parametros!$B$9</f>
        <v>104000</v>
      </c>
      <c r="AB103" s="18" t="n">
        <f aca="false">Q103*P103</f>
        <v>113100</v>
      </c>
    </row>
    <row r="104" customFormat="false" ht="15" hidden="false" customHeight="false" outlineLevel="0" collapsed="false">
      <c r="A104" s="14" t="s">
        <v>284</v>
      </c>
      <c r="B104" s="14" t="s">
        <v>133</v>
      </c>
      <c r="C104" s="14" t="s">
        <v>55</v>
      </c>
      <c r="D104" s="14" t="s">
        <v>56</v>
      </c>
      <c r="E104" s="15" t="n">
        <v>26143</v>
      </c>
      <c r="F104" s="14" t="s">
        <v>57</v>
      </c>
      <c r="G104" s="14" t="s">
        <v>58</v>
      </c>
      <c r="H104" s="14" t="s">
        <v>59</v>
      </c>
      <c r="I104" s="14" t="s">
        <v>188</v>
      </c>
      <c r="J104" s="15" t="n">
        <v>45220</v>
      </c>
      <c r="K104" s="15"/>
      <c r="L104" s="14" t="s">
        <v>97</v>
      </c>
      <c r="M104" s="14" t="s">
        <v>79</v>
      </c>
      <c r="N104" s="14" t="s">
        <v>63</v>
      </c>
      <c r="O104" s="14" t="s">
        <v>64</v>
      </c>
      <c r="P104" s="16" t="n">
        <v>0.0435</v>
      </c>
      <c r="Q104" s="17" t="n">
        <v>2600000</v>
      </c>
      <c r="R104" s="18" t="n">
        <f aca="false">IF(Q104&lt;=Parametros!$B$4,Parametros!$B$3,0)</f>
        <v>249095</v>
      </c>
      <c r="S104" s="18" t="n">
        <f aca="false">Q104*Parametros!$B$5</f>
        <v>104000</v>
      </c>
      <c r="T104" s="18" t="n">
        <f aca="false">Q104*Parametros!$B$6</f>
        <v>104000</v>
      </c>
      <c r="U104" s="18" t="n">
        <f aca="false">(Q104+R104)*Parametros!$B$10</f>
        <v>237424.583333333</v>
      </c>
      <c r="V104" s="18" t="n">
        <f aca="false">U104*Parametros!$B$11</f>
        <v>28490.95</v>
      </c>
      <c r="W104" s="18" t="n">
        <f aca="false">(Q104+R104)*Parametros!$B$12</f>
        <v>237424.583333333</v>
      </c>
      <c r="X104" s="18" t="n">
        <f aca="false">Q104*Parametros!$B$13</f>
        <v>108420</v>
      </c>
      <c r="Y104" s="18" t="n">
        <f aca="false">Q104*Parametros!$B$7</f>
        <v>221000</v>
      </c>
      <c r="Z104" s="18" t="n">
        <f aca="false">Q104*Parametros!$B$8</f>
        <v>312000</v>
      </c>
      <c r="AA104" s="18" t="n">
        <f aca="false">Q104*Parametros!$B$9</f>
        <v>104000</v>
      </c>
      <c r="AB104" s="18" t="n">
        <f aca="false">Q104*P104</f>
        <v>113100</v>
      </c>
    </row>
    <row r="105" customFormat="false" ht="15" hidden="false" customHeight="false" outlineLevel="0" collapsed="false">
      <c r="A105" s="14" t="s">
        <v>285</v>
      </c>
      <c r="B105" s="14" t="s">
        <v>163</v>
      </c>
      <c r="C105" s="14" t="s">
        <v>67</v>
      </c>
      <c r="D105" s="14" t="s">
        <v>56</v>
      </c>
      <c r="E105" s="15" t="n">
        <v>30472</v>
      </c>
      <c r="F105" s="14" t="s">
        <v>57</v>
      </c>
      <c r="G105" s="14" t="s">
        <v>58</v>
      </c>
      <c r="H105" s="14" t="s">
        <v>59</v>
      </c>
      <c r="I105" s="14" t="s">
        <v>286</v>
      </c>
      <c r="J105" s="15" t="n">
        <v>44628</v>
      </c>
      <c r="K105" s="15"/>
      <c r="L105" s="14" t="s">
        <v>97</v>
      </c>
      <c r="M105" s="14" t="s">
        <v>73</v>
      </c>
      <c r="N105" s="14" t="s">
        <v>63</v>
      </c>
      <c r="O105" s="14" t="s">
        <v>64</v>
      </c>
      <c r="P105" s="16" t="n">
        <v>0.00522</v>
      </c>
      <c r="Q105" s="17" t="n">
        <v>6200000</v>
      </c>
      <c r="R105" s="18" t="n">
        <f aca="false">IF(Q105&lt;=Parametros!$B$4,Parametros!$B$3,0)</f>
        <v>0</v>
      </c>
      <c r="S105" s="18" t="n">
        <f aca="false">Q105*Parametros!$B$5</f>
        <v>248000</v>
      </c>
      <c r="T105" s="18" t="n">
        <f aca="false">Q105*Parametros!$B$6</f>
        <v>248000</v>
      </c>
      <c r="U105" s="18" t="n">
        <f aca="false">(Q105+R105)*Parametros!$B$10</f>
        <v>516666.666666667</v>
      </c>
      <c r="V105" s="18" t="n">
        <f aca="false">U105*Parametros!$B$11</f>
        <v>62000</v>
      </c>
      <c r="W105" s="18" t="n">
        <f aca="false">(Q105+R105)*Parametros!$B$12</f>
        <v>516666.666666667</v>
      </c>
      <c r="X105" s="18" t="n">
        <f aca="false">Q105*Parametros!$B$13</f>
        <v>258540</v>
      </c>
      <c r="Y105" s="18" t="n">
        <f aca="false">Q105*Parametros!$B$7</f>
        <v>527000</v>
      </c>
      <c r="Z105" s="18" t="n">
        <f aca="false">Q105*Parametros!$B$8</f>
        <v>744000</v>
      </c>
      <c r="AA105" s="18" t="n">
        <f aca="false">Q105*Parametros!$B$9</f>
        <v>248000</v>
      </c>
      <c r="AB105" s="18" t="n">
        <f aca="false">Q105*P105</f>
        <v>32364</v>
      </c>
    </row>
    <row r="106" customFormat="false" ht="15" hidden="false" customHeight="false" outlineLevel="0" collapsed="false">
      <c r="A106" s="14" t="s">
        <v>287</v>
      </c>
      <c r="B106" s="14" t="s">
        <v>237</v>
      </c>
      <c r="C106" s="14" t="s">
        <v>243</v>
      </c>
      <c r="D106" s="14" t="s">
        <v>56</v>
      </c>
      <c r="E106" s="15" t="n">
        <v>35743</v>
      </c>
      <c r="F106" s="14" t="s">
        <v>57</v>
      </c>
      <c r="G106" s="14" t="s">
        <v>107</v>
      </c>
      <c r="H106" s="14" t="s">
        <v>108</v>
      </c>
      <c r="I106" s="14" t="s">
        <v>68</v>
      </c>
      <c r="J106" s="15" t="n">
        <v>45936</v>
      </c>
      <c r="K106" s="15"/>
      <c r="L106" s="14" t="s">
        <v>61</v>
      </c>
      <c r="M106" s="14" t="s">
        <v>62</v>
      </c>
      <c r="N106" s="14" t="s">
        <v>63</v>
      </c>
      <c r="O106" s="14" t="s">
        <v>64</v>
      </c>
      <c r="P106" s="16" t="n">
        <v>0.00522</v>
      </c>
      <c r="Q106" s="17" t="n">
        <v>1750905</v>
      </c>
      <c r="R106" s="18" t="n">
        <f aca="false">IF(Q106&lt;=Parametros!$B$4,Parametros!$B$3,0)</f>
        <v>249095</v>
      </c>
      <c r="S106" s="18" t="n">
        <f aca="false">Q106*Parametros!$B$5</f>
        <v>70036.2</v>
      </c>
      <c r="T106" s="18" t="n">
        <f aca="false">Q106*Parametros!$B$6</f>
        <v>70036.2</v>
      </c>
      <c r="U106" s="18" t="n">
        <f aca="false">(Q106+R106)*Parametros!$B$10</f>
        <v>166666.666666667</v>
      </c>
      <c r="V106" s="18" t="n">
        <f aca="false">U106*Parametros!$B$11</f>
        <v>20000</v>
      </c>
      <c r="W106" s="18" t="n">
        <f aca="false">(Q106+R106)*Parametros!$B$12</f>
        <v>166666.666666667</v>
      </c>
      <c r="X106" s="18" t="n">
        <f aca="false">Q106*Parametros!$B$13</f>
        <v>73012.7385</v>
      </c>
      <c r="Y106" s="18" t="n">
        <f aca="false">Q106*Parametros!$B$7</f>
        <v>148826.925</v>
      </c>
      <c r="Z106" s="18" t="n">
        <f aca="false">Q106*Parametros!$B$8</f>
        <v>210108.6</v>
      </c>
      <c r="AA106" s="18" t="n">
        <f aca="false">Q106*Parametros!$B$9</f>
        <v>70036.2</v>
      </c>
      <c r="AB106" s="18" t="n">
        <f aca="false">Q106*P106</f>
        <v>9139.7241</v>
      </c>
    </row>
    <row r="107" customFormat="false" ht="15" hidden="false" customHeight="false" outlineLevel="0" collapsed="false">
      <c r="A107" s="14" t="s">
        <v>288</v>
      </c>
      <c r="B107" s="14" t="s">
        <v>278</v>
      </c>
      <c r="C107" s="14" t="s">
        <v>266</v>
      </c>
      <c r="D107" s="14" t="s">
        <v>77</v>
      </c>
      <c r="E107" s="15" t="n">
        <v>28251</v>
      </c>
      <c r="F107" s="14" t="s">
        <v>57</v>
      </c>
      <c r="G107" s="14" t="s">
        <v>58</v>
      </c>
      <c r="H107" s="14" t="s">
        <v>59</v>
      </c>
      <c r="I107" s="14" t="s">
        <v>289</v>
      </c>
      <c r="J107" s="15" t="n">
        <v>44896</v>
      </c>
      <c r="K107" s="15"/>
      <c r="L107" s="14" t="s">
        <v>97</v>
      </c>
      <c r="M107" s="14" t="s">
        <v>73</v>
      </c>
      <c r="N107" s="14" t="s">
        <v>63</v>
      </c>
      <c r="O107" s="14" t="s">
        <v>64</v>
      </c>
      <c r="P107" s="16" t="n">
        <v>0.00522</v>
      </c>
      <c r="Q107" s="17" t="n">
        <v>1800000</v>
      </c>
      <c r="R107" s="18" t="n">
        <f aca="false">IF(Q107&lt;=Parametros!$B$4,Parametros!$B$3,0)</f>
        <v>249095</v>
      </c>
      <c r="S107" s="18" t="n">
        <f aca="false">Q107*Parametros!$B$5</f>
        <v>72000</v>
      </c>
      <c r="T107" s="18" t="n">
        <f aca="false">Q107*Parametros!$B$6</f>
        <v>72000</v>
      </c>
      <c r="U107" s="18" t="n">
        <f aca="false">(Q107+R107)*Parametros!$B$10</f>
        <v>170757.916666667</v>
      </c>
      <c r="V107" s="18" t="n">
        <f aca="false">U107*Parametros!$B$11</f>
        <v>20490.95</v>
      </c>
      <c r="W107" s="18" t="n">
        <f aca="false">(Q107+R107)*Parametros!$B$12</f>
        <v>170757.916666667</v>
      </c>
      <c r="X107" s="18" t="n">
        <f aca="false">Q107*Parametros!$B$13</f>
        <v>75060</v>
      </c>
      <c r="Y107" s="18" t="n">
        <f aca="false">Q107*Parametros!$B$7</f>
        <v>153000</v>
      </c>
      <c r="Z107" s="18" t="n">
        <f aca="false">Q107*Parametros!$B$8</f>
        <v>216000</v>
      </c>
      <c r="AA107" s="18" t="n">
        <f aca="false">Q107*Parametros!$B$9</f>
        <v>72000</v>
      </c>
      <c r="AB107" s="18" t="n">
        <f aca="false">Q107*P107</f>
        <v>9396</v>
      </c>
    </row>
    <row r="108" customFormat="false" ht="15" hidden="false" customHeight="false" outlineLevel="0" collapsed="false">
      <c r="A108" s="14" t="s">
        <v>290</v>
      </c>
      <c r="B108" s="14" t="s">
        <v>265</v>
      </c>
      <c r="C108" s="14" t="s">
        <v>125</v>
      </c>
      <c r="D108" s="14" t="s">
        <v>56</v>
      </c>
      <c r="E108" s="15" t="n">
        <v>28769</v>
      </c>
      <c r="F108" s="14" t="s">
        <v>57</v>
      </c>
      <c r="G108" s="14" t="s">
        <v>58</v>
      </c>
      <c r="H108" s="14" t="s">
        <v>59</v>
      </c>
      <c r="I108" s="14" t="s">
        <v>112</v>
      </c>
      <c r="J108" s="15" t="n">
        <v>43563</v>
      </c>
      <c r="K108" s="15"/>
      <c r="L108" s="14" t="s">
        <v>78</v>
      </c>
      <c r="M108" s="14" t="s">
        <v>62</v>
      </c>
      <c r="N108" s="14" t="s">
        <v>63</v>
      </c>
      <c r="O108" s="14" t="s">
        <v>64</v>
      </c>
      <c r="P108" s="16" t="n">
        <v>0.0696</v>
      </c>
      <c r="Q108" s="17" t="n">
        <v>1900000</v>
      </c>
      <c r="R108" s="18" t="n">
        <f aca="false">IF(Q108&lt;=Parametros!$B$4,Parametros!$B$3,0)</f>
        <v>249095</v>
      </c>
      <c r="S108" s="18" t="n">
        <f aca="false">Q108*Parametros!$B$5</f>
        <v>76000</v>
      </c>
      <c r="T108" s="18" t="n">
        <f aca="false">Q108*Parametros!$B$6</f>
        <v>76000</v>
      </c>
      <c r="U108" s="18" t="n">
        <f aca="false">(Q108+R108)*Parametros!$B$10</f>
        <v>179091.25</v>
      </c>
      <c r="V108" s="18" t="n">
        <f aca="false">U108*Parametros!$B$11</f>
        <v>21490.95</v>
      </c>
      <c r="W108" s="18" t="n">
        <f aca="false">(Q108+R108)*Parametros!$B$12</f>
        <v>179091.25</v>
      </c>
      <c r="X108" s="18" t="n">
        <f aca="false">Q108*Parametros!$B$13</f>
        <v>79230</v>
      </c>
      <c r="Y108" s="18" t="n">
        <f aca="false">Q108*Parametros!$B$7</f>
        <v>161500</v>
      </c>
      <c r="Z108" s="18" t="n">
        <f aca="false">Q108*Parametros!$B$8</f>
        <v>228000</v>
      </c>
      <c r="AA108" s="18" t="n">
        <f aca="false">Q108*Parametros!$B$9</f>
        <v>76000</v>
      </c>
      <c r="AB108" s="18" t="n">
        <f aca="false">Q108*P108</f>
        <v>132240</v>
      </c>
    </row>
    <row r="109" customFormat="false" ht="15" hidden="false" customHeight="false" outlineLevel="0" collapsed="false">
      <c r="A109" s="14" t="s">
        <v>291</v>
      </c>
      <c r="B109" s="14" t="s">
        <v>91</v>
      </c>
      <c r="C109" s="14" t="s">
        <v>106</v>
      </c>
      <c r="D109" s="14" t="s">
        <v>56</v>
      </c>
      <c r="E109" s="15" t="n">
        <v>31067</v>
      </c>
      <c r="F109" s="14" t="s">
        <v>57</v>
      </c>
      <c r="G109" s="14" t="s">
        <v>58</v>
      </c>
      <c r="H109" s="14" t="s">
        <v>59</v>
      </c>
      <c r="I109" s="14" t="s">
        <v>192</v>
      </c>
      <c r="J109" s="15" t="n">
        <v>46098</v>
      </c>
      <c r="K109" s="15"/>
      <c r="L109" s="14" t="s">
        <v>61</v>
      </c>
      <c r="M109" s="14" t="s">
        <v>62</v>
      </c>
      <c r="N109" s="14" t="s">
        <v>63</v>
      </c>
      <c r="O109" s="14" t="s">
        <v>64</v>
      </c>
      <c r="P109" s="16" t="n">
        <v>0.00522</v>
      </c>
      <c r="Q109" s="17" t="n">
        <v>1750905</v>
      </c>
      <c r="R109" s="18" t="n">
        <f aca="false">IF(Q109&lt;=Parametros!$B$4,Parametros!$B$3,0)</f>
        <v>249095</v>
      </c>
      <c r="S109" s="18" t="n">
        <f aca="false">Q109*Parametros!$B$5</f>
        <v>70036.2</v>
      </c>
      <c r="T109" s="18" t="n">
        <f aca="false">Q109*Parametros!$B$6</f>
        <v>70036.2</v>
      </c>
      <c r="U109" s="18" t="n">
        <f aca="false">(Q109+R109)*Parametros!$B$10</f>
        <v>166666.666666667</v>
      </c>
      <c r="V109" s="18" t="n">
        <f aca="false">U109*Parametros!$B$11</f>
        <v>20000</v>
      </c>
      <c r="W109" s="18" t="n">
        <f aca="false">(Q109+R109)*Parametros!$B$12</f>
        <v>166666.666666667</v>
      </c>
      <c r="X109" s="18" t="n">
        <f aca="false">Q109*Parametros!$B$13</f>
        <v>73012.7385</v>
      </c>
      <c r="Y109" s="18" t="n">
        <f aca="false">Q109*Parametros!$B$7</f>
        <v>148826.925</v>
      </c>
      <c r="Z109" s="18" t="n">
        <f aca="false">Q109*Parametros!$B$8</f>
        <v>210108.6</v>
      </c>
      <c r="AA109" s="18" t="n">
        <f aca="false">Q109*Parametros!$B$9</f>
        <v>70036.2</v>
      </c>
      <c r="AB109" s="18" t="n">
        <f aca="false">Q109*P109</f>
        <v>9139.7241</v>
      </c>
    </row>
    <row r="110" customFormat="false" ht="15" hidden="false" customHeight="false" outlineLevel="0" collapsed="false">
      <c r="A110" s="14" t="s">
        <v>292</v>
      </c>
      <c r="B110" s="14" t="s">
        <v>155</v>
      </c>
      <c r="C110" s="14" t="s">
        <v>293</v>
      </c>
      <c r="D110" s="14" t="s">
        <v>77</v>
      </c>
      <c r="E110" s="15" t="n">
        <v>25408</v>
      </c>
      <c r="F110" s="14" t="s">
        <v>57</v>
      </c>
      <c r="G110" s="14" t="s">
        <v>58</v>
      </c>
      <c r="H110" s="14" t="s">
        <v>59</v>
      </c>
      <c r="I110" s="14" t="s">
        <v>60</v>
      </c>
      <c r="J110" s="15" t="n">
        <v>45670</v>
      </c>
      <c r="K110" s="15"/>
      <c r="L110" s="14" t="s">
        <v>72</v>
      </c>
      <c r="M110" s="14" t="s">
        <v>79</v>
      </c>
      <c r="N110" s="14" t="s">
        <v>63</v>
      </c>
      <c r="O110" s="14" t="s">
        <v>64</v>
      </c>
      <c r="P110" s="16" t="n">
        <v>0.0435</v>
      </c>
      <c r="Q110" s="17" t="n">
        <v>1750905</v>
      </c>
      <c r="R110" s="18" t="n">
        <f aca="false">IF(Q110&lt;=Parametros!$B$4,Parametros!$B$3,0)</f>
        <v>249095</v>
      </c>
      <c r="S110" s="18" t="n">
        <f aca="false">Q110*Parametros!$B$5</f>
        <v>70036.2</v>
      </c>
      <c r="T110" s="18" t="n">
        <f aca="false">Q110*Parametros!$B$6</f>
        <v>70036.2</v>
      </c>
      <c r="U110" s="18" t="n">
        <f aca="false">(Q110+R110)*Parametros!$B$10</f>
        <v>166666.666666667</v>
      </c>
      <c r="V110" s="18" t="n">
        <f aca="false">U110*Parametros!$B$11</f>
        <v>20000</v>
      </c>
      <c r="W110" s="18" t="n">
        <f aca="false">(Q110+R110)*Parametros!$B$12</f>
        <v>166666.666666667</v>
      </c>
      <c r="X110" s="18" t="n">
        <f aca="false">Q110*Parametros!$B$13</f>
        <v>73012.7385</v>
      </c>
      <c r="Y110" s="18" t="n">
        <f aca="false">Q110*Parametros!$B$7</f>
        <v>148826.925</v>
      </c>
      <c r="Z110" s="18" t="n">
        <f aca="false">Q110*Parametros!$B$8</f>
        <v>210108.6</v>
      </c>
      <c r="AA110" s="18" t="n">
        <f aca="false">Q110*Parametros!$B$9</f>
        <v>70036.2</v>
      </c>
      <c r="AB110" s="18" t="n">
        <f aca="false">Q110*P110</f>
        <v>76164.3675</v>
      </c>
    </row>
    <row r="111" customFormat="false" ht="15" hidden="false" customHeight="false" outlineLevel="0" collapsed="false">
      <c r="A111" s="14" t="s">
        <v>294</v>
      </c>
      <c r="B111" s="14" t="s">
        <v>278</v>
      </c>
      <c r="C111" s="14" t="s">
        <v>134</v>
      </c>
      <c r="D111" s="14" t="s">
        <v>77</v>
      </c>
      <c r="E111" s="15" t="n">
        <v>29859</v>
      </c>
      <c r="F111" s="14" t="s">
        <v>57</v>
      </c>
      <c r="G111" s="14" t="s">
        <v>58</v>
      </c>
      <c r="H111" s="14" t="s">
        <v>59</v>
      </c>
      <c r="I111" s="14" t="s">
        <v>295</v>
      </c>
      <c r="J111" s="15" t="n">
        <v>43606</v>
      </c>
      <c r="K111" s="15"/>
      <c r="L111" s="14" t="s">
        <v>86</v>
      </c>
      <c r="M111" s="14" t="s">
        <v>73</v>
      </c>
      <c r="N111" s="14" t="s">
        <v>63</v>
      </c>
      <c r="O111" s="14" t="s">
        <v>64</v>
      </c>
      <c r="P111" s="16" t="n">
        <v>0.02436</v>
      </c>
      <c r="Q111" s="17" t="n">
        <v>3000000</v>
      </c>
      <c r="R111" s="18" t="n">
        <f aca="false">IF(Q111&lt;=Parametros!$B$4,Parametros!$B$3,0)</f>
        <v>249095</v>
      </c>
      <c r="S111" s="18" t="n">
        <f aca="false">Q111*Parametros!$B$5</f>
        <v>120000</v>
      </c>
      <c r="T111" s="18" t="n">
        <f aca="false">Q111*Parametros!$B$6</f>
        <v>120000</v>
      </c>
      <c r="U111" s="18" t="n">
        <f aca="false">(Q111+R111)*Parametros!$B$10</f>
        <v>270757.916666667</v>
      </c>
      <c r="V111" s="18" t="n">
        <f aca="false">U111*Parametros!$B$11</f>
        <v>32490.95</v>
      </c>
      <c r="W111" s="18" t="n">
        <f aca="false">(Q111+R111)*Parametros!$B$12</f>
        <v>270757.916666667</v>
      </c>
      <c r="X111" s="18" t="n">
        <f aca="false">Q111*Parametros!$B$13</f>
        <v>125100</v>
      </c>
      <c r="Y111" s="18" t="n">
        <f aca="false">Q111*Parametros!$B$7</f>
        <v>255000</v>
      </c>
      <c r="Z111" s="18" t="n">
        <f aca="false">Q111*Parametros!$B$8</f>
        <v>360000</v>
      </c>
      <c r="AA111" s="18" t="n">
        <f aca="false">Q111*Parametros!$B$9</f>
        <v>120000</v>
      </c>
      <c r="AB111" s="18" t="n">
        <f aca="false">Q111*P111</f>
        <v>73080</v>
      </c>
    </row>
    <row r="112" customFormat="false" ht="15" hidden="false" customHeight="false" outlineLevel="0" collapsed="false">
      <c r="A112" s="14" t="s">
        <v>296</v>
      </c>
      <c r="B112" s="14" t="s">
        <v>165</v>
      </c>
      <c r="C112" s="14" t="s">
        <v>235</v>
      </c>
      <c r="D112" s="14" t="s">
        <v>56</v>
      </c>
      <c r="E112" s="15" t="n">
        <v>33268</v>
      </c>
      <c r="F112" s="14" t="s">
        <v>57</v>
      </c>
      <c r="G112" s="14" t="s">
        <v>58</v>
      </c>
      <c r="H112" s="14" t="s">
        <v>59</v>
      </c>
      <c r="I112" s="14" t="s">
        <v>112</v>
      </c>
      <c r="J112" s="15" t="n">
        <v>43617</v>
      </c>
      <c r="K112" s="15"/>
      <c r="L112" s="14" t="s">
        <v>97</v>
      </c>
      <c r="M112" s="14" t="s">
        <v>62</v>
      </c>
      <c r="N112" s="14" t="s">
        <v>63</v>
      </c>
      <c r="O112" s="14" t="s">
        <v>64</v>
      </c>
      <c r="P112" s="16" t="n">
        <v>0.0696</v>
      </c>
      <c r="Q112" s="17" t="n">
        <v>1900000</v>
      </c>
      <c r="R112" s="18" t="n">
        <f aca="false">IF(Q112&lt;=Parametros!$B$4,Parametros!$B$3,0)</f>
        <v>249095</v>
      </c>
      <c r="S112" s="18" t="n">
        <f aca="false">Q112*Parametros!$B$5</f>
        <v>76000</v>
      </c>
      <c r="T112" s="18" t="n">
        <f aca="false">Q112*Parametros!$B$6</f>
        <v>76000</v>
      </c>
      <c r="U112" s="18" t="n">
        <f aca="false">(Q112+R112)*Parametros!$B$10</f>
        <v>179091.25</v>
      </c>
      <c r="V112" s="18" t="n">
        <f aca="false">U112*Parametros!$B$11</f>
        <v>21490.95</v>
      </c>
      <c r="W112" s="18" t="n">
        <f aca="false">(Q112+R112)*Parametros!$B$12</f>
        <v>179091.25</v>
      </c>
      <c r="X112" s="18" t="n">
        <f aca="false">Q112*Parametros!$B$13</f>
        <v>79230</v>
      </c>
      <c r="Y112" s="18" t="n">
        <f aca="false">Q112*Parametros!$B$7</f>
        <v>161500</v>
      </c>
      <c r="Z112" s="18" t="n">
        <f aca="false">Q112*Parametros!$B$8</f>
        <v>228000</v>
      </c>
      <c r="AA112" s="18" t="n">
        <f aca="false">Q112*Parametros!$B$9</f>
        <v>76000</v>
      </c>
      <c r="AB112" s="18" t="n">
        <f aca="false">Q112*P112</f>
        <v>132240</v>
      </c>
    </row>
    <row r="113" customFormat="false" ht="15" hidden="false" customHeight="false" outlineLevel="0" collapsed="false">
      <c r="A113" s="14" t="s">
        <v>297</v>
      </c>
      <c r="B113" s="14" t="s">
        <v>95</v>
      </c>
      <c r="C113" s="14" t="s">
        <v>92</v>
      </c>
      <c r="D113" s="14" t="s">
        <v>56</v>
      </c>
      <c r="E113" s="15" t="n">
        <v>28571</v>
      </c>
      <c r="F113" s="14" t="s">
        <v>57</v>
      </c>
      <c r="G113" s="14" t="s">
        <v>58</v>
      </c>
      <c r="H113" s="14" t="s">
        <v>59</v>
      </c>
      <c r="I113" s="14" t="s">
        <v>112</v>
      </c>
      <c r="J113" s="15" t="n">
        <v>46028</v>
      </c>
      <c r="K113" s="15"/>
      <c r="L113" s="14" t="s">
        <v>72</v>
      </c>
      <c r="M113" s="14" t="s">
        <v>73</v>
      </c>
      <c r="N113" s="14" t="s">
        <v>63</v>
      </c>
      <c r="O113" s="14" t="s">
        <v>64</v>
      </c>
      <c r="P113" s="16" t="n">
        <v>0.0696</v>
      </c>
      <c r="Q113" s="17" t="n">
        <v>1900000</v>
      </c>
      <c r="R113" s="18" t="n">
        <f aca="false">IF(Q113&lt;=Parametros!$B$4,Parametros!$B$3,0)</f>
        <v>249095</v>
      </c>
      <c r="S113" s="18" t="n">
        <f aca="false">Q113*Parametros!$B$5</f>
        <v>76000</v>
      </c>
      <c r="T113" s="18" t="n">
        <f aca="false">Q113*Parametros!$B$6</f>
        <v>76000</v>
      </c>
      <c r="U113" s="18" t="n">
        <f aca="false">(Q113+R113)*Parametros!$B$10</f>
        <v>179091.25</v>
      </c>
      <c r="V113" s="18" t="n">
        <f aca="false">U113*Parametros!$B$11</f>
        <v>21490.95</v>
      </c>
      <c r="W113" s="18" t="n">
        <f aca="false">(Q113+R113)*Parametros!$B$12</f>
        <v>179091.25</v>
      </c>
      <c r="X113" s="18" t="n">
        <f aca="false">Q113*Parametros!$B$13</f>
        <v>79230</v>
      </c>
      <c r="Y113" s="18" t="n">
        <f aca="false">Q113*Parametros!$B$7</f>
        <v>161500</v>
      </c>
      <c r="Z113" s="18" t="n">
        <f aca="false">Q113*Parametros!$B$8</f>
        <v>228000</v>
      </c>
      <c r="AA113" s="18" t="n">
        <f aca="false">Q113*Parametros!$B$9</f>
        <v>76000</v>
      </c>
      <c r="AB113" s="18" t="n">
        <f aca="false">Q113*P113</f>
        <v>132240</v>
      </c>
    </row>
    <row r="114" customFormat="false" ht="15" hidden="false" customHeight="false" outlineLevel="0" collapsed="false">
      <c r="A114" s="14" t="s">
        <v>298</v>
      </c>
      <c r="B114" s="14" t="s">
        <v>124</v>
      </c>
      <c r="C114" s="14" t="s">
        <v>103</v>
      </c>
      <c r="D114" s="14" t="s">
        <v>56</v>
      </c>
      <c r="E114" s="15" t="n">
        <v>29419</v>
      </c>
      <c r="F114" s="14" t="s">
        <v>57</v>
      </c>
      <c r="G114" s="14" t="s">
        <v>58</v>
      </c>
      <c r="H114" s="14" t="s">
        <v>59</v>
      </c>
      <c r="I114" s="14" t="s">
        <v>140</v>
      </c>
      <c r="J114" s="15" t="n">
        <v>45901</v>
      </c>
      <c r="K114" s="15"/>
      <c r="L114" s="14" t="s">
        <v>86</v>
      </c>
      <c r="M114" s="14" t="s">
        <v>73</v>
      </c>
      <c r="N114" s="14" t="s">
        <v>63</v>
      </c>
      <c r="O114" s="14" t="s">
        <v>64</v>
      </c>
      <c r="P114" s="16" t="n">
        <v>0.0696</v>
      </c>
      <c r="Q114" s="17" t="n">
        <v>2300000</v>
      </c>
      <c r="R114" s="18" t="n">
        <f aca="false">IF(Q114&lt;=Parametros!$B$4,Parametros!$B$3,0)</f>
        <v>249095</v>
      </c>
      <c r="S114" s="18" t="n">
        <f aca="false">Q114*Parametros!$B$5</f>
        <v>92000</v>
      </c>
      <c r="T114" s="18" t="n">
        <f aca="false">Q114*Parametros!$B$6</f>
        <v>92000</v>
      </c>
      <c r="U114" s="18" t="n">
        <f aca="false">(Q114+R114)*Parametros!$B$10</f>
        <v>212424.583333333</v>
      </c>
      <c r="V114" s="18" t="n">
        <f aca="false">U114*Parametros!$B$11</f>
        <v>25490.95</v>
      </c>
      <c r="W114" s="18" t="n">
        <f aca="false">(Q114+R114)*Parametros!$B$12</f>
        <v>212424.583333333</v>
      </c>
      <c r="X114" s="18" t="n">
        <f aca="false">Q114*Parametros!$B$13</f>
        <v>95910</v>
      </c>
      <c r="Y114" s="18" t="n">
        <f aca="false">Q114*Parametros!$B$7</f>
        <v>195500</v>
      </c>
      <c r="Z114" s="18" t="n">
        <f aca="false">Q114*Parametros!$B$8</f>
        <v>276000</v>
      </c>
      <c r="AA114" s="18" t="n">
        <f aca="false">Q114*Parametros!$B$9</f>
        <v>92000</v>
      </c>
      <c r="AB114" s="18" t="n">
        <f aca="false">Q114*P114</f>
        <v>160080</v>
      </c>
    </row>
    <row r="115" customFormat="false" ht="15" hidden="false" customHeight="false" outlineLevel="0" collapsed="false">
      <c r="A115" s="14" t="s">
        <v>299</v>
      </c>
      <c r="B115" s="14" t="s">
        <v>130</v>
      </c>
      <c r="C115" s="14" t="s">
        <v>300</v>
      </c>
      <c r="D115" s="14" t="s">
        <v>56</v>
      </c>
      <c r="E115" s="15" t="n">
        <v>29836</v>
      </c>
      <c r="F115" s="14" t="s">
        <v>57</v>
      </c>
      <c r="G115" s="14" t="s">
        <v>58</v>
      </c>
      <c r="H115" s="14" t="s">
        <v>59</v>
      </c>
      <c r="I115" s="14" t="s">
        <v>295</v>
      </c>
      <c r="J115" s="15" t="n">
        <v>45944</v>
      </c>
      <c r="K115" s="15" t="n">
        <v>46082</v>
      </c>
      <c r="L115" s="14" t="s">
        <v>78</v>
      </c>
      <c r="M115" s="14" t="s">
        <v>79</v>
      </c>
      <c r="N115" s="14" t="s">
        <v>63</v>
      </c>
      <c r="O115" s="14" t="s">
        <v>64</v>
      </c>
      <c r="P115" s="16" t="n">
        <v>0.02436</v>
      </c>
      <c r="Q115" s="17" t="n">
        <v>3000000</v>
      </c>
      <c r="R115" s="18" t="n">
        <f aca="false">IF(Q115&lt;=Parametros!$B$4,Parametros!$B$3,0)</f>
        <v>249095</v>
      </c>
      <c r="S115" s="18" t="n">
        <f aca="false">Q115*Parametros!$B$5</f>
        <v>120000</v>
      </c>
      <c r="T115" s="18" t="n">
        <f aca="false">Q115*Parametros!$B$6</f>
        <v>120000</v>
      </c>
      <c r="U115" s="18" t="n">
        <f aca="false">(Q115+R115)*Parametros!$B$10</f>
        <v>270757.916666667</v>
      </c>
      <c r="V115" s="18" t="n">
        <f aca="false">U115*Parametros!$B$11</f>
        <v>32490.95</v>
      </c>
      <c r="W115" s="18" t="n">
        <f aca="false">(Q115+R115)*Parametros!$B$12</f>
        <v>270757.916666667</v>
      </c>
      <c r="X115" s="18" t="n">
        <f aca="false">Q115*Parametros!$B$13</f>
        <v>125100</v>
      </c>
      <c r="Y115" s="18" t="n">
        <f aca="false">Q115*Parametros!$B$7</f>
        <v>255000</v>
      </c>
      <c r="Z115" s="18" t="n">
        <f aca="false">Q115*Parametros!$B$8</f>
        <v>360000</v>
      </c>
      <c r="AA115" s="18" t="n">
        <f aca="false">Q115*Parametros!$B$9</f>
        <v>120000</v>
      </c>
      <c r="AB115" s="18" t="n">
        <f aca="false">Q115*P115</f>
        <v>73080</v>
      </c>
    </row>
    <row r="116" customFormat="false" ht="15" hidden="false" customHeight="false" outlineLevel="0" collapsed="false">
      <c r="A116" s="14" t="s">
        <v>301</v>
      </c>
      <c r="B116" s="14" t="s">
        <v>163</v>
      </c>
      <c r="C116" s="14" t="s">
        <v>302</v>
      </c>
      <c r="D116" s="14" t="s">
        <v>56</v>
      </c>
      <c r="E116" s="15" t="n">
        <v>30133</v>
      </c>
      <c r="F116" s="14" t="s">
        <v>57</v>
      </c>
      <c r="G116" s="14" t="s">
        <v>58</v>
      </c>
      <c r="H116" s="14" t="s">
        <v>59</v>
      </c>
      <c r="I116" s="14" t="s">
        <v>128</v>
      </c>
      <c r="J116" s="15" t="n">
        <v>45929</v>
      </c>
      <c r="K116" s="15"/>
      <c r="L116" s="14" t="s">
        <v>97</v>
      </c>
      <c r="M116" s="14" t="s">
        <v>73</v>
      </c>
      <c r="N116" s="14" t="s">
        <v>63</v>
      </c>
      <c r="O116" s="14" t="s">
        <v>64</v>
      </c>
      <c r="P116" s="16" t="n">
        <v>0.00522</v>
      </c>
      <c r="Q116" s="17" t="n">
        <v>1750905</v>
      </c>
      <c r="R116" s="18" t="n">
        <f aca="false">IF(Q116&lt;=Parametros!$B$4,Parametros!$B$3,0)</f>
        <v>249095</v>
      </c>
      <c r="S116" s="18" t="n">
        <f aca="false">Q116*Parametros!$B$5</f>
        <v>70036.2</v>
      </c>
      <c r="T116" s="18" t="n">
        <f aca="false">Q116*Parametros!$B$6</f>
        <v>70036.2</v>
      </c>
      <c r="U116" s="18" t="n">
        <f aca="false">(Q116+R116)*Parametros!$B$10</f>
        <v>166666.666666667</v>
      </c>
      <c r="V116" s="18" t="n">
        <f aca="false">U116*Parametros!$B$11</f>
        <v>20000</v>
      </c>
      <c r="W116" s="18" t="n">
        <f aca="false">(Q116+R116)*Parametros!$B$12</f>
        <v>166666.666666667</v>
      </c>
      <c r="X116" s="18" t="n">
        <f aca="false">Q116*Parametros!$B$13</f>
        <v>73012.7385</v>
      </c>
      <c r="Y116" s="18" t="n">
        <f aca="false">Q116*Parametros!$B$7</f>
        <v>148826.925</v>
      </c>
      <c r="Z116" s="18" t="n">
        <f aca="false">Q116*Parametros!$B$8</f>
        <v>210108.6</v>
      </c>
      <c r="AA116" s="18" t="n">
        <f aca="false">Q116*Parametros!$B$9</f>
        <v>70036.2</v>
      </c>
      <c r="AB116" s="18" t="n">
        <f aca="false">Q116*P116</f>
        <v>9139.7241</v>
      </c>
    </row>
    <row r="117" customFormat="false" ht="15" hidden="false" customHeight="false" outlineLevel="0" collapsed="false">
      <c r="A117" s="14" t="s">
        <v>303</v>
      </c>
      <c r="B117" s="14" t="s">
        <v>163</v>
      </c>
      <c r="C117" s="14" t="s">
        <v>142</v>
      </c>
      <c r="D117" s="14" t="s">
        <v>56</v>
      </c>
      <c r="E117" s="15" t="n">
        <v>32432</v>
      </c>
      <c r="F117" s="14" t="s">
        <v>57</v>
      </c>
      <c r="G117" s="14" t="s">
        <v>58</v>
      </c>
      <c r="H117" s="14" t="s">
        <v>59</v>
      </c>
      <c r="I117" s="14" t="s">
        <v>219</v>
      </c>
      <c r="J117" s="15" t="n">
        <v>45945</v>
      </c>
      <c r="K117" s="15"/>
      <c r="L117" s="14" t="s">
        <v>61</v>
      </c>
      <c r="M117" s="14" t="s">
        <v>62</v>
      </c>
      <c r="N117" s="14" t="s">
        <v>63</v>
      </c>
      <c r="O117" s="14" t="s">
        <v>64</v>
      </c>
      <c r="P117" s="16" t="n">
        <v>0.0435</v>
      </c>
      <c r="Q117" s="17" t="n">
        <v>3200000</v>
      </c>
      <c r="R117" s="18" t="n">
        <f aca="false">IF(Q117&lt;=Parametros!$B$4,Parametros!$B$3,0)</f>
        <v>249095</v>
      </c>
      <c r="S117" s="18" t="n">
        <f aca="false">Q117*Parametros!$B$5</f>
        <v>128000</v>
      </c>
      <c r="T117" s="18" t="n">
        <f aca="false">Q117*Parametros!$B$6</f>
        <v>128000</v>
      </c>
      <c r="U117" s="18" t="n">
        <f aca="false">(Q117+R117)*Parametros!$B$10</f>
        <v>287424.583333333</v>
      </c>
      <c r="V117" s="18" t="n">
        <f aca="false">U117*Parametros!$B$11</f>
        <v>34490.95</v>
      </c>
      <c r="W117" s="18" t="n">
        <f aca="false">(Q117+R117)*Parametros!$B$12</f>
        <v>287424.583333333</v>
      </c>
      <c r="X117" s="18" t="n">
        <f aca="false">Q117*Parametros!$B$13</f>
        <v>133440</v>
      </c>
      <c r="Y117" s="18" t="n">
        <f aca="false">Q117*Parametros!$B$7</f>
        <v>272000</v>
      </c>
      <c r="Z117" s="18" t="n">
        <f aca="false">Q117*Parametros!$B$8</f>
        <v>384000</v>
      </c>
      <c r="AA117" s="18" t="n">
        <f aca="false">Q117*Parametros!$B$9</f>
        <v>128000</v>
      </c>
      <c r="AB117" s="18" t="n">
        <f aca="false">Q117*P117</f>
        <v>139200</v>
      </c>
    </row>
    <row r="118" customFormat="false" ht="15" hidden="false" customHeight="false" outlineLevel="0" collapsed="false">
      <c r="A118" s="14" t="s">
        <v>304</v>
      </c>
      <c r="B118" s="14" t="s">
        <v>177</v>
      </c>
      <c r="C118" s="14" t="s">
        <v>305</v>
      </c>
      <c r="D118" s="14" t="s">
        <v>77</v>
      </c>
      <c r="E118" s="15" t="n">
        <v>29627</v>
      </c>
      <c r="F118" s="14" t="s">
        <v>57</v>
      </c>
      <c r="G118" s="14" t="s">
        <v>58</v>
      </c>
      <c r="H118" s="14" t="s">
        <v>59</v>
      </c>
      <c r="I118" s="14" t="s">
        <v>128</v>
      </c>
      <c r="J118" s="15" t="n">
        <v>46023</v>
      </c>
      <c r="K118" s="15"/>
      <c r="L118" s="14" t="s">
        <v>78</v>
      </c>
      <c r="M118" s="14" t="s">
        <v>62</v>
      </c>
      <c r="N118" s="14" t="s">
        <v>63</v>
      </c>
      <c r="O118" s="14" t="s">
        <v>64</v>
      </c>
      <c r="P118" s="16" t="n">
        <v>0.00522</v>
      </c>
      <c r="Q118" s="17" t="n">
        <v>1750905</v>
      </c>
      <c r="R118" s="18" t="n">
        <f aca="false">IF(Q118&lt;=Parametros!$B$4,Parametros!$B$3,0)</f>
        <v>249095</v>
      </c>
      <c r="S118" s="18" t="n">
        <f aca="false">Q118*Parametros!$B$5</f>
        <v>70036.2</v>
      </c>
      <c r="T118" s="18" t="n">
        <f aca="false">Q118*Parametros!$B$6</f>
        <v>70036.2</v>
      </c>
      <c r="U118" s="18" t="n">
        <f aca="false">(Q118+R118)*Parametros!$B$10</f>
        <v>166666.666666667</v>
      </c>
      <c r="V118" s="18" t="n">
        <f aca="false">U118*Parametros!$B$11</f>
        <v>20000</v>
      </c>
      <c r="W118" s="18" t="n">
        <f aca="false">(Q118+R118)*Parametros!$B$12</f>
        <v>166666.666666667</v>
      </c>
      <c r="X118" s="18" t="n">
        <f aca="false">Q118*Parametros!$B$13</f>
        <v>73012.7385</v>
      </c>
      <c r="Y118" s="18" t="n">
        <f aca="false">Q118*Parametros!$B$7</f>
        <v>148826.925</v>
      </c>
      <c r="Z118" s="18" t="n">
        <f aca="false">Q118*Parametros!$B$8</f>
        <v>210108.6</v>
      </c>
      <c r="AA118" s="18" t="n">
        <f aca="false">Q118*Parametros!$B$9</f>
        <v>70036.2</v>
      </c>
      <c r="AB118" s="18" t="n">
        <f aca="false">Q118*P118</f>
        <v>9139.7241</v>
      </c>
    </row>
    <row r="119" customFormat="false" ht="15" hidden="false" customHeight="false" outlineLevel="0" collapsed="false">
      <c r="A119" s="14" t="s">
        <v>306</v>
      </c>
      <c r="B119" s="14" t="s">
        <v>214</v>
      </c>
      <c r="C119" s="14" t="s">
        <v>305</v>
      </c>
      <c r="D119" s="14" t="s">
        <v>77</v>
      </c>
      <c r="E119" s="15" t="n">
        <v>33198</v>
      </c>
      <c r="F119" s="14" t="s">
        <v>57</v>
      </c>
      <c r="G119" s="14" t="s">
        <v>58</v>
      </c>
      <c r="H119" s="14" t="s">
        <v>59</v>
      </c>
      <c r="I119" s="14" t="s">
        <v>295</v>
      </c>
      <c r="J119" s="15" t="n">
        <v>43728</v>
      </c>
      <c r="K119" s="15"/>
      <c r="L119" s="14" t="s">
        <v>86</v>
      </c>
      <c r="M119" s="14" t="s">
        <v>62</v>
      </c>
      <c r="N119" s="14" t="s">
        <v>63</v>
      </c>
      <c r="O119" s="14" t="s">
        <v>64</v>
      </c>
      <c r="P119" s="16" t="n">
        <v>0.02436</v>
      </c>
      <c r="Q119" s="17" t="n">
        <v>3000000</v>
      </c>
      <c r="R119" s="18" t="n">
        <f aca="false">IF(Q119&lt;=Parametros!$B$4,Parametros!$B$3,0)</f>
        <v>249095</v>
      </c>
      <c r="S119" s="18" t="n">
        <f aca="false">Q119*Parametros!$B$5</f>
        <v>120000</v>
      </c>
      <c r="T119" s="18" t="n">
        <f aca="false">Q119*Parametros!$B$6</f>
        <v>120000</v>
      </c>
      <c r="U119" s="18" t="n">
        <f aca="false">(Q119+R119)*Parametros!$B$10</f>
        <v>270757.916666667</v>
      </c>
      <c r="V119" s="18" t="n">
        <f aca="false">U119*Parametros!$B$11</f>
        <v>32490.95</v>
      </c>
      <c r="W119" s="18" t="n">
        <f aca="false">(Q119+R119)*Parametros!$B$12</f>
        <v>270757.916666667</v>
      </c>
      <c r="X119" s="18" t="n">
        <f aca="false">Q119*Parametros!$B$13</f>
        <v>125100</v>
      </c>
      <c r="Y119" s="18" t="n">
        <f aca="false">Q119*Parametros!$B$7</f>
        <v>255000</v>
      </c>
      <c r="Z119" s="18" t="n">
        <f aca="false">Q119*Parametros!$B$8</f>
        <v>360000</v>
      </c>
      <c r="AA119" s="18" t="n">
        <f aca="false">Q119*Parametros!$B$9</f>
        <v>120000</v>
      </c>
      <c r="AB119" s="18" t="n">
        <f aca="false">Q119*P119</f>
        <v>73080</v>
      </c>
    </row>
    <row r="120" customFormat="false" ht="15" hidden="false" customHeight="false" outlineLevel="0" collapsed="false">
      <c r="A120" s="14" t="s">
        <v>307</v>
      </c>
      <c r="B120" s="14" t="s">
        <v>130</v>
      </c>
      <c r="C120" s="14" t="s">
        <v>255</v>
      </c>
      <c r="D120" s="14" t="s">
        <v>77</v>
      </c>
      <c r="E120" s="15" t="n">
        <v>31654</v>
      </c>
      <c r="F120" s="14" t="s">
        <v>57</v>
      </c>
      <c r="G120" s="14" t="s">
        <v>58</v>
      </c>
      <c r="H120" s="14" t="s">
        <v>59</v>
      </c>
      <c r="I120" s="14" t="s">
        <v>192</v>
      </c>
      <c r="J120" s="15" t="n">
        <v>43732</v>
      </c>
      <c r="K120" s="15"/>
      <c r="L120" s="14" t="s">
        <v>97</v>
      </c>
      <c r="M120" s="14" t="s">
        <v>79</v>
      </c>
      <c r="N120" s="14" t="s">
        <v>63</v>
      </c>
      <c r="O120" s="14" t="s">
        <v>64</v>
      </c>
      <c r="P120" s="16" t="n">
        <v>0.00522</v>
      </c>
      <c r="Q120" s="17" t="n">
        <v>1750905</v>
      </c>
      <c r="R120" s="18" t="n">
        <f aca="false">IF(Q120&lt;=Parametros!$B$4,Parametros!$B$3,0)</f>
        <v>249095</v>
      </c>
      <c r="S120" s="18" t="n">
        <f aca="false">Q120*Parametros!$B$5</f>
        <v>70036.2</v>
      </c>
      <c r="T120" s="18" t="n">
        <f aca="false">Q120*Parametros!$B$6</f>
        <v>70036.2</v>
      </c>
      <c r="U120" s="18" t="n">
        <f aca="false">(Q120+R120)*Parametros!$B$10</f>
        <v>166666.666666667</v>
      </c>
      <c r="V120" s="18" t="n">
        <f aca="false">U120*Parametros!$B$11</f>
        <v>20000</v>
      </c>
      <c r="W120" s="18" t="n">
        <f aca="false">(Q120+R120)*Parametros!$B$12</f>
        <v>166666.666666667</v>
      </c>
      <c r="X120" s="18" t="n">
        <f aca="false">Q120*Parametros!$B$13</f>
        <v>73012.7385</v>
      </c>
      <c r="Y120" s="18" t="n">
        <f aca="false">Q120*Parametros!$B$7</f>
        <v>148826.925</v>
      </c>
      <c r="Z120" s="18" t="n">
        <f aca="false">Q120*Parametros!$B$8</f>
        <v>210108.6</v>
      </c>
      <c r="AA120" s="18" t="n">
        <f aca="false">Q120*Parametros!$B$9</f>
        <v>70036.2</v>
      </c>
      <c r="AB120" s="18" t="n">
        <f aca="false">Q120*P120</f>
        <v>9139.7241</v>
      </c>
    </row>
    <row r="121" customFormat="false" ht="15" hidden="false" customHeight="false" outlineLevel="0" collapsed="false">
      <c r="A121" s="14" t="s">
        <v>308</v>
      </c>
      <c r="B121" s="14" t="s">
        <v>168</v>
      </c>
      <c r="C121" s="14" t="s">
        <v>101</v>
      </c>
      <c r="D121" s="14" t="s">
        <v>77</v>
      </c>
      <c r="E121" s="15" t="n">
        <v>27532</v>
      </c>
      <c r="F121" s="14" t="s">
        <v>57</v>
      </c>
      <c r="G121" s="14" t="s">
        <v>58</v>
      </c>
      <c r="H121" s="14" t="s">
        <v>59</v>
      </c>
      <c r="I121" s="14" t="s">
        <v>112</v>
      </c>
      <c r="J121" s="15" t="n">
        <v>45383</v>
      </c>
      <c r="K121" s="15"/>
      <c r="L121" s="14" t="s">
        <v>86</v>
      </c>
      <c r="M121" s="14" t="s">
        <v>79</v>
      </c>
      <c r="N121" s="14" t="s">
        <v>63</v>
      </c>
      <c r="O121" s="14" t="s">
        <v>64</v>
      </c>
      <c r="P121" s="16" t="n">
        <v>0.0696</v>
      </c>
      <c r="Q121" s="17" t="n">
        <v>1900000</v>
      </c>
      <c r="R121" s="18" t="n">
        <f aca="false">IF(Q121&lt;=Parametros!$B$4,Parametros!$B$3,0)</f>
        <v>249095</v>
      </c>
      <c r="S121" s="18" t="n">
        <f aca="false">Q121*Parametros!$B$5</f>
        <v>76000</v>
      </c>
      <c r="T121" s="18" t="n">
        <f aca="false">Q121*Parametros!$B$6</f>
        <v>76000</v>
      </c>
      <c r="U121" s="18" t="n">
        <f aca="false">(Q121+R121)*Parametros!$B$10</f>
        <v>179091.25</v>
      </c>
      <c r="V121" s="18" t="n">
        <f aca="false">U121*Parametros!$B$11</f>
        <v>21490.95</v>
      </c>
      <c r="W121" s="18" t="n">
        <f aca="false">(Q121+R121)*Parametros!$B$12</f>
        <v>179091.25</v>
      </c>
      <c r="X121" s="18" t="n">
        <f aca="false">Q121*Parametros!$B$13</f>
        <v>79230</v>
      </c>
      <c r="Y121" s="18" t="n">
        <f aca="false">Q121*Parametros!$B$7</f>
        <v>161500</v>
      </c>
      <c r="Z121" s="18" t="n">
        <f aca="false">Q121*Parametros!$B$8</f>
        <v>228000</v>
      </c>
      <c r="AA121" s="18" t="n">
        <f aca="false">Q121*Parametros!$B$9</f>
        <v>76000</v>
      </c>
      <c r="AB121" s="18" t="n">
        <f aca="false">Q121*P121</f>
        <v>132240</v>
      </c>
    </row>
    <row r="122" customFormat="false" ht="15" hidden="false" customHeight="false" outlineLevel="0" collapsed="false">
      <c r="A122" s="14" t="s">
        <v>309</v>
      </c>
      <c r="B122" s="14" t="s">
        <v>204</v>
      </c>
      <c r="C122" s="14" t="s">
        <v>222</v>
      </c>
      <c r="D122" s="14" t="s">
        <v>77</v>
      </c>
      <c r="E122" s="15" t="n">
        <v>34145</v>
      </c>
      <c r="F122" s="14" t="s">
        <v>57</v>
      </c>
      <c r="G122" s="14" t="s">
        <v>58</v>
      </c>
      <c r="H122" s="14" t="s">
        <v>59</v>
      </c>
      <c r="I122" s="14" t="s">
        <v>147</v>
      </c>
      <c r="J122" s="15" t="n">
        <v>45748</v>
      </c>
      <c r="K122" s="15" t="n">
        <v>46054</v>
      </c>
      <c r="L122" s="14" t="s">
        <v>72</v>
      </c>
      <c r="M122" s="14" t="s">
        <v>73</v>
      </c>
      <c r="N122" s="14" t="s">
        <v>63</v>
      </c>
      <c r="O122" s="14" t="s">
        <v>64</v>
      </c>
      <c r="P122" s="16" t="n">
        <v>0.00522</v>
      </c>
      <c r="Q122" s="17" t="n">
        <v>1750905</v>
      </c>
      <c r="R122" s="18" t="n">
        <f aca="false">IF(Q122&lt;=Parametros!$B$4,Parametros!$B$3,0)</f>
        <v>249095</v>
      </c>
      <c r="S122" s="18" t="n">
        <f aca="false">Q122*Parametros!$B$5</f>
        <v>70036.2</v>
      </c>
      <c r="T122" s="18" t="n">
        <f aca="false">Q122*Parametros!$B$6</f>
        <v>70036.2</v>
      </c>
      <c r="U122" s="18" t="n">
        <f aca="false">(Q122+R122)*Parametros!$B$10</f>
        <v>166666.666666667</v>
      </c>
      <c r="V122" s="18" t="n">
        <f aca="false">U122*Parametros!$B$11</f>
        <v>20000</v>
      </c>
      <c r="W122" s="18" t="n">
        <f aca="false">(Q122+R122)*Parametros!$B$12</f>
        <v>166666.666666667</v>
      </c>
      <c r="X122" s="18" t="n">
        <f aca="false">Q122*Parametros!$B$13</f>
        <v>73012.7385</v>
      </c>
      <c r="Y122" s="18" t="n">
        <f aca="false">Q122*Parametros!$B$7</f>
        <v>148826.925</v>
      </c>
      <c r="Z122" s="18" t="n">
        <f aca="false">Q122*Parametros!$B$8</f>
        <v>210108.6</v>
      </c>
      <c r="AA122" s="18" t="n">
        <f aca="false">Q122*Parametros!$B$9</f>
        <v>70036.2</v>
      </c>
      <c r="AB122" s="18" t="n">
        <f aca="false">Q122*P122</f>
        <v>9139.7241</v>
      </c>
    </row>
    <row r="123" customFormat="false" ht="15" hidden="false" customHeight="false" outlineLevel="0" collapsed="false">
      <c r="A123" s="14" t="s">
        <v>310</v>
      </c>
      <c r="B123" s="14" t="s">
        <v>75</v>
      </c>
      <c r="C123" s="14" t="s">
        <v>266</v>
      </c>
      <c r="D123" s="14" t="s">
        <v>77</v>
      </c>
      <c r="E123" s="15" t="n">
        <v>28999</v>
      </c>
      <c r="F123" s="14" t="s">
        <v>57</v>
      </c>
      <c r="G123" s="14" t="s">
        <v>58</v>
      </c>
      <c r="H123" s="14" t="s">
        <v>59</v>
      </c>
      <c r="I123" s="14" t="s">
        <v>240</v>
      </c>
      <c r="J123" s="15" t="n">
        <v>46146</v>
      </c>
      <c r="K123" s="15" t="n">
        <v>46146</v>
      </c>
      <c r="L123" s="14" t="s">
        <v>148</v>
      </c>
      <c r="M123" s="14" t="s">
        <v>73</v>
      </c>
      <c r="N123" s="14" t="s">
        <v>63</v>
      </c>
      <c r="O123" s="14" t="s">
        <v>64</v>
      </c>
      <c r="P123" s="16" t="n">
        <v>0.02436</v>
      </c>
      <c r="Q123" s="17" t="n">
        <v>2800000</v>
      </c>
      <c r="R123" s="18" t="n">
        <f aca="false">IF(Q123&lt;=Parametros!$B$4,Parametros!$B$3,0)</f>
        <v>249095</v>
      </c>
      <c r="S123" s="18" t="n">
        <f aca="false">Q123*Parametros!$B$5</f>
        <v>112000</v>
      </c>
      <c r="T123" s="18" t="n">
        <f aca="false">Q123*Parametros!$B$6</f>
        <v>112000</v>
      </c>
      <c r="U123" s="18" t="n">
        <f aca="false">(Q123+R123)*Parametros!$B$10</f>
        <v>254091.25</v>
      </c>
      <c r="V123" s="18" t="n">
        <f aca="false">U123*Parametros!$B$11</f>
        <v>30490.95</v>
      </c>
      <c r="W123" s="18" t="n">
        <f aca="false">(Q123+R123)*Parametros!$B$12</f>
        <v>254091.25</v>
      </c>
      <c r="X123" s="18" t="n">
        <f aca="false">Q123*Parametros!$B$13</f>
        <v>116760</v>
      </c>
      <c r="Y123" s="18" t="n">
        <f aca="false">Q123*Parametros!$B$7</f>
        <v>238000</v>
      </c>
      <c r="Z123" s="18" t="n">
        <f aca="false">Q123*Parametros!$B$8</f>
        <v>336000</v>
      </c>
      <c r="AA123" s="18" t="n">
        <f aca="false">Q123*Parametros!$B$9</f>
        <v>112000</v>
      </c>
      <c r="AB123" s="18" t="n">
        <f aca="false">Q123*P123</f>
        <v>68208</v>
      </c>
    </row>
    <row r="124" customFormat="false" ht="15" hidden="false" customHeight="false" outlineLevel="0" collapsed="false">
      <c r="A124" s="14" t="s">
        <v>311</v>
      </c>
      <c r="B124" s="14" t="s">
        <v>81</v>
      </c>
      <c r="C124" s="14" t="s">
        <v>103</v>
      </c>
      <c r="D124" s="14" t="s">
        <v>56</v>
      </c>
      <c r="E124" s="15" t="n">
        <v>28672</v>
      </c>
      <c r="F124" s="14" t="s">
        <v>57</v>
      </c>
      <c r="G124" s="14" t="s">
        <v>58</v>
      </c>
      <c r="H124" s="14" t="s">
        <v>59</v>
      </c>
      <c r="I124" s="14" t="s">
        <v>68</v>
      </c>
      <c r="J124" s="15" t="n">
        <v>46125</v>
      </c>
      <c r="K124" s="15"/>
      <c r="L124" s="14" t="s">
        <v>97</v>
      </c>
      <c r="M124" s="14" t="s">
        <v>98</v>
      </c>
      <c r="N124" s="14" t="s">
        <v>63</v>
      </c>
      <c r="O124" s="14" t="s">
        <v>64</v>
      </c>
      <c r="P124" s="16" t="n">
        <v>0.00522</v>
      </c>
      <c r="Q124" s="17" t="n">
        <v>1750905</v>
      </c>
      <c r="R124" s="18" t="n">
        <f aca="false">IF(Q124&lt;=Parametros!$B$4,Parametros!$B$3,0)</f>
        <v>249095</v>
      </c>
      <c r="S124" s="18" t="n">
        <f aca="false">Q124*Parametros!$B$5</f>
        <v>70036.2</v>
      </c>
      <c r="T124" s="18" t="n">
        <f aca="false">Q124*Parametros!$B$6</f>
        <v>70036.2</v>
      </c>
      <c r="U124" s="18" t="n">
        <f aca="false">(Q124+R124)*Parametros!$B$10</f>
        <v>166666.666666667</v>
      </c>
      <c r="V124" s="18" t="n">
        <f aca="false">U124*Parametros!$B$11</f>
        <v>20000</v>
      </c>
      <c r="W124" s="18" t="n">
        <f aca="false">(Q124+R124)*Parametros!$B$12</f>
        <v>166666.666666667</v>
      </c>
      <c r="X124" s="18" t="n">
        <f aca="false">Q124*Parametros!$B$13</f>
        <v>73012.7385</v>
      </c>
      <c r="Y124" s="18" t="n">
        <f aca="false">Q124*Parametros!$B$7</f>
        <v>148826.925</v>
      </c>
      <c r="Z124" s="18" t="n">
        <f aca="false">Q124*Parametros!$B$8</f>
        <v>210108.6</v>
      </c>
      <c r="AA124" s="18" t="n">
        <f aca="false">Q124*Parametros!$B$9</f>
        <v>70036.2</v>
      </c>
      <c r="AB124" s="18" t="n">
        <f aca="false">Q124*P124</f>
        <v>9139.7241</v>
      </c>
    </row>
    <row r="125" customFormat="false" ht="15" hidden="false" customHeight="false" outlineLevel="0" collapsed="false">
      <c r="A125" s="14" t="s">
        <v>312</v>
      </c>
      <c r="B125" s="14" t="s">
        <v>130</v>
      </c>
      <c r="C125" s="14" t="s">
        <v>300</v>
      </c>
      <c r="D125" s="14" t="s">
        <v>56</v>
      </c>
      <c r="E125" s="15" t="n">
        <v>32420</v>
      </c>
      <c r="F125" s="14" t="s">
        <v>57</v>
      </c>
      <c r="G125" s="14" t="s">
        <v>58</v>
      </c>
      <c r="H125" s="14" t="s">
        <v>59</v>
      </c>
      <c r="I125" s="14" t="s">
        <v>128</v>
      </c>
      <c r="J125" s="15" t="n">
        <v>45931</v>
      </c>
      <c r="K125" s="15" t="n">
        <v>46082</v>
      </c>
      <c r="L125" s="14" t="s">
        <v>97</v>
      </c>
      <c r="M125" s="14" t="s">
        <v>98</v>
      </c>
      <c r="N125" s="14" t="s">
        <v>63</v>
      </c>
      <c r="O125" s="14" t="s">
        <v>64</v>
      </c>
      <c r="P125" s="16" t="n">
        <v>0.00522</v>
      </c>
      <c r="Q125" s="17" t="n">
        <v>1750905</v>
      </c>
      <c r="R125" s="18" t="n">
        <f aca="false">IF(Q125&lt;=Parametros!$B$4,Parametros!$B$3,0)</f>
        <v>249095</v>
      </c>
      <c r="S125" s="18" t="n">
        <f aca="false">Q125*Parametros!$B$5</f>
        <v>70036.2</v>
      </c>
      <c r="T125" s="18" t="n">
        <f aca="false">Q125*Parametros!$B$6</f>
        <v>70036.2</v>
      </c>
      <c r="U125" s="18" t="n">
        <f aca="false">(Q125+R125)*Parametros!$B$10</f>
        <v>166666.666666667</v>
      </c>
      <c r="V125" s="18" t="n">
        <f aca="false">U125*Parametros!$B$11</f>
        <v>20000</v>
      </c>
      <c r="W125" s="18" t="n">
        <f aca="false">(Q125+R125)*Parametros!$B$12</f>
        <v>166666.666666667</v>
      </c>
      <c r="X125" s="18" t="n">
        <f aca="false">Q125*Parametros!$B$13</f>
        <v>73012.7385</v>
      </c>
      <c r="Y125" s="18" t="n">
        <f aca="false">Q125*Parametros!$B$7</f>
        <v>148826.925</v>
      </c>
      <c r="Z125" s="18" t="n">
        <f aca="false">Q125*Parametros!$B$8</f>
        <v>210108.6</v>
      </c>
      <c r="AA125" s="18" t="n">
        <f aca="false">Q125*Parametros!$B$9</f>
        <v>70036.2</v>
      </c>
      <c r="AB125" s="18" t="n">
        <f aca="false">Q125*P125</f>
        <v>9139.7241</v>
      </c>
    </row>
    <row r="126" customFormat="false" ht="15" hidden="false" customHeight="false" outlineLevel="0" collapsed="false">
      <c r="A126" s="14" t="s">
        <v>313</v>
      </c>
      <c r="B126" s="14" t="s">
        <v>204</v>
      </c>
      <c r="C126" s="14" t="s">
        <v>239</v>
      </c>
      <c r="D126" s="14" t="s">
        <v>77</v>
      </c>
      <c r="E126" s="15" t="n">
        <v>31312</v>
      </c>
      <c r="F126" s="14" t="s">
        <v>57</v>
      </c>
      <c r="G126" s="14" t="s">
        <v>58</v>
      </c>
      <c r="H126" s="14" t="s">
        <v>59</v>
      </c>
      <c r="I126" s="14" t="s">
        <v>314</v>
      </c>
      <c r="J126" s="15" t="n">
        <v>45200</v>
      </c>
      <c r="K126" s="15"/>
      <c r="L126" s="14" t="s">
        <v>78</v>
      </c>
      <c r="M126" s="14" t="s">
        <v>79</v>
      </c>
      <c r="N126" s="14" t="s">
        <v>63</v>
      </c>
      <c r="O126" s="14" t="s">
        <v>64</v>
      </c>
      <c r="P126" s="16" t="n">
        <v>0.00522</v>
      </c>
      <c r="Q126" s="17" t="n">
        <v>2600000</v>
      </c>
      <c r="R126" s="18" t="n">
        <f aca="false">IF(Q126&lt;=Parametros!$B$4,Parametros!$B$3,0)</f>
        <v>249095</v>
      </c>
      <c r="S126" s="18" t="n">
        <f aca="false">Q126*Parametros!$B$5</f>
        <v>104000</v>
      </c>
      <c r="T126" s="18" t="n">
        <f aca="false">Q126*Parametros!$B$6</f>
        <v>104000</v>
      </c>
      <c r="U126" s="18" t="n">
        <f aca="false">(Q126+R126)*Parametros!$B$10</f>
        <v>237424.583333333</v>
      </c>
      <c r="V126" s="18" t="n">
        <f aca="false">U126*Parametros!$B$11</f>
        <v>28490.95</v>
      </c>
      <c r="W126" s="18" t="n">
        <f aca="false">(Q126+R126)*Parametros!$B$12</f>
        <v>237424.583333333</v>
      </c>
      <c r="X126" s="18" t="n">
        <f aca="false">Q126*Parametros!$B$13</f>
        <v>108420</v>
      </c>
      <c r="Y126" s="18" t="n">
        <f aca="false">Q126*Parametros!$B$7</f>
        <v>221000</v>
      </c>
      <c r="Z126" s="18" t="n">
        <f aca="false">Q126*Parametros!$B$8</f>
        <v>312000</v>
      </c>
      <c r="AA126" s="18" t="n">
        <f aca="false">Q126*Parametros!$B$9</f>
        <v>104000</v>
      </c>
      <c r="AB126" s="18" t="n">
        <f aca="false">Q126*P126</f>
        <v>13572</v>
      </c>
    </row>
    <row r="127" customFormat="false" ht="15" hidden="false" customHeight="false" outlineLevel="0" collapsed="false">
      <c r="A127" s="14" t="s">
        <v>315</v>
      </c>
      <c r="B127" s="14" t="s">
        <v>278</v>
      </c>
      <c r="C127" s="14" t="s">
        <v>85</v>
      </c>
      <c r="D127" s="14" t="s">
        <v>56</v>
      </c>
      <c r="E127" s="15" t="n">
        <v>20813</v>
      </c>
      <c r="F127" s="14" t="s">
        <v>57</v>
      </c>
      <c r="G127" s="14" t="s">
        <v>58</v>
      </c>
      <c r="H127" s="14" t="s">
        <v>59</v>
      </c>
      <c r="I127" s="14" t="s">
        <v>112</v>
      </c>
      <c r="J127" s="15" t="n">
        <v>44795</v>
      </c>
      <c r="K127" s="15"/>
      <c r="L127" s="14" t="s">
        <v>86</v>
      </c>
      <c r="M127" s="14" t="s">
        <v>79</v>
      </c>
      <c r="N127" s="14" t="s">
        <v>63</v>
      </c>
      <c r="O127" s="14" t="s">
        <v>64</v>
      </c>
      <c r="P127" s="16" t="n">
        <v>0.0696</v>
      </c>
      <c r="Q127" s="17" t="n">
        <v>1900000</v>
      </c>
      <c r="R127" s="18" t="n">
        <f aca="false">IF(Q127&lt;=Parametros!$B$4,Parametros!$B$3,0)</f>
        <v>249095</v>
      </c>
      <c r="S127" s="18" t="n">
        <f aca="false">Q127*Parametros!$B$5</f>
        <v>76000</v>
      </c>
      <c r="T127" s="18" t="n">
        <f aca="false">Q127*Parametros!$B$6</f>
        <v>76000</v>
      </c>
      <c r="U127" s="18" t="n">
        <f aca="false">(Q127+R127)*Parametros!$B$10</f>
        <v>179091.25</v>
      </c>
      <c r="V127" s="18" t="n">
        <f aca="false">U127*Parametros!$B$11</f>
        <v>21490.95</v>
      </c>
      <c r="W127" s="18" t="n">
        <f aca="false">(Q127+R127)*Parametros!$B$12</f>
        <v>179091.25</v>
      </c>
      <c r="X127" s="18" t="n">
        <f aca="false">Q127*Parametros!$B$13</f>
        <v>79230</v>
      </c>
      <c r="Y127" s="18" t="n">
        <f aca="false">Q127*Parametros!$B$7</f>
        <v>161500</v>
      </c>
      <c r="Z127" s="18" t="n">
        <f aca="false">Q127*Parametros!$B$8</f>
        <v>228000</v>
      </c>
      <c r="AA127" s="18" t="n">
        <f aca="false">Q127*Parametros!$B$9</f>
        <v>76000</v>
      </c>
      <c r="AB127" s="18" t="n">
        <f aca="false">Q127*P127</f>
        <v>132240</v>
      </c>
    </row>
    <row r="128" customFormat="false" ht="15" hidden="false" customHeight="false" outlineLevel="0" collapsed="false">
      <c r="A128" s="14" t="s">
        <v>316</v>
      </c>
      <c r="B128" s="14" t="s">
        <v>88</v>
      </c>
      <c r="C128" s="14" t="s">
        <v>142</v>
      </c>
      <c r="D128" s="14" t="s">
        <v>56</v>
      </c>
      <c r="E128" s="15" t="n">
        <v>34383</v>
      </c>
      <c r="F128" s="14" t="s">
        <v>57</v>
      </c>
      <c r="G128" s="14" t="s">
        <v>58</v>
      </c>
      <c r="H128" s="14" t="s">
        <v>59</v>
      </c>
      <c r="I128" s="14" t="s">
        <v>112</v>
      </c>
      <c r="J128" s="15" t="n">
        <v>44809</v>
      </c>
      <c r="K128" s="15"/>
      <c r="L128" s="14" t="s">
        <v>72</v>
      </c>
      <c r="M128" s="14" t="s">
        <v>62</v>
      </c>
      <c r="N128" s="14" t="s">
        <v>63</v>
      </c>
      <c r="O128" s="14" t="s">
        <v>64</v>
      </c>
      <c r="P128" s="16" t="n">
        <v>0.0696</v>
      </c>
      <c r="Q128" s="17" t="n">
        <v>1900000</v>
      </c>
      <c r="R128" s="18" t="n">
        <f aca="false">IF(Q128&lt;=Parametros!$B$4,Parametros!$B$3,0)</f>
        <v>249095</v>
      </c>
      <c r="S128" s="18" t="n">
        <f aca="false">Q128*Parametros!$B$5</f>
        <v>76000</v>
      </c>
      <c r="T128" s="18" t="n">
        <f aca="false">Q128*Parametros!$B$6</f>
        <v>76000</v>
      </c>
      <c r="U128" s="18" t="n">
        <f aca="false">(Q128+R128)*Parametros!$B$10</f>
        <v>179091.25</v>
      </c>
      <c r="V128" s="18" t="n">
        <f aca="false">U128*Parametros!$B$11</f>
        <v>21490.95</v>
      </c>
      <c r="W128" s="18" t="n">
        <f aca="false">(Q128+R128)*Parametros!$B$12</f>
        <v>179091.25</v>
      </c>
      <c r="X128" s="18" t="n">
        <f aca="false">Q128*Parametros!$B$13</f>
        <v>79230</v>
      </c>
      <c r="Y128" s="18" t="n">
        <f aca="false">Q128*Parametros!$B$7</f>
        <v>161500</v>
      </c>
      <c r="Z128" s="18" t="n">
        <f aca="false">Q128*Parametros!$B$8</f>
        <v>228000</v>
      </c>
      <c r="AA128" s="18" t="n">
        <f aca="false">Q128*Parametros!$B$9</f>
        <v>76000</v>
      </c>
      <c r="AB128" s="18" t="n">
        <f aca="false">Q128*P128</f>
        <v>132240</v>
      </c>
    </row>
    <row r="129" customFormat="false" ht="15" hidden="false" customHeight="false" outlineLevel="0" collapsed="false">
      <c r="A129" s="14" t="s">
        <v>317</v>
      </c>
      <c r="B129" s="14" t="s">
        <v>124</v>
      </c>
      <c r="C129" s="14" t="s">
        <v>85</v>
      </c>
      <c r="D129" s="14" t="s">
        <v>56</v>
      </c>
      <c r="E129" s="15" t="n">
        <v>32444</v>
      </c>
      <c r="F129" s="14" t="s">
        <v>57</v>
      </c>
      <c r="G129" s="14" t="s">
        <v>58</v>
      </c>
      <c r="H129" s="14" t="s">
        <v>59</v>
      </c>
      <c r="I129" s="14" t="s">
        <v>60</v>
      </c>
      <c r="J129" s="15" t="n">
        <v>45474</v>
      </c>
      <c r="K129" s="15"/>
      <c r="L129" s="14" t="s">
        <v>61</v>
      </c>
      <c r="M129" s="14" t="s">
        <v>62</v>
      </c>
      <c r="N129" s="14" t="s">
        <v>63</v>
      </c>
      <c r="O129" s="14" t="s">
        <v>64</v>
      </c>
      <c r="P129" s="16" t="n">
        <v>0.0435</v>
      </c>
      <c r="Q129" s="17" t="n">
        <v>1750905</v>
      </c>
      <c r="R129" s="18" t="n">
        <f aca="false">IF(Q129&lt;=Parametros!$B$4,Parametros!$B$3,0)</f>
        <v>249095</v>
      </c>
      <c r="S129" s="18" t="n">
        <f aca="false">Q129*Parametros!$B$5</f>
        <v>70036.2</v>
      </c>
      <c r="T129" s="18" t="n">
        <f aca="false">Q129*Parametros!$B$6</f>
        <v>70036.2</v>
      </c>
      <c r="U129" s="18" t="n">
        <f aca="false">(Q129+R129)*Parametros!$B$10</f>
        <v>166666.666666667</v>
      </c>
      <c r="V129" s="18" t="n">
        <f aca="false">U129*Parametros!$B$11</f>
        <v>20000</v>
      </c>
      <c r="W129" s="18" t="n">
        <f aca="false">(Q129+R129)*Parametros!$B$12</f>
        <v>166666.666666667</v>
      </c>
      <c r="X129" s="18" t="n">
        <f aca="false">Q129*Parametros!$B$13</f>
        <v>73012.7385</v>
      </c>
      <c r="Y129" s="18" t="n">
        <f aca="false">Q129*Parametros!$B$7</f>
        <v>148826.925</v>
      </c>
      <c r="Z129" s="18" t="n">
        <f aca="false">Q129*Parametros!$B$8</f>
        <v>210108.6</v>
      </c>
      <c r="AA129" s="18" t="n">
        <f aca="false">Q129*Parametros!$B$9</f>
        <v>70036.2</v>
      </c>
      <c r="AB129" s="18" t="n">
        <f aca="false">Q129*P129</f>
        <v>76164.3675</v>
      </c>
    </row>
    <row r="130" customFormat="false" ht="15" hidden="false" customHeight="false" outlineLevel="0" collapsed="false">
      <c r="A130" s="14" t="s">
        <v>318</v>
      </c>
      <c r="B130" s="14" t="s">
        <v>237</v>
      </c>
      <c r="C130" s="14" t="s">
        <v>319</v>
      </c>
      <c r="D130" s="14" t="s">
        <v>77</v>
      </c>
      <c r="E130" s="15" t="n">
        <v>34003</v>
      </c>
      <c r="F130" s="14" t="s">
        <v>57</v>
      </c>
      <c r="G130" s="14" t="s">
        <v>58</v>
      </c>
      <c r="H130" s="14" t="s">
        <v>59</v>
      </c>
      <c r="I130" s="14" t="s">
        <v>289</v>
      </c>
      <c r="J130" s="15" t="n">
        <v>45292</v>
      </c>
      <c r="K130" s="15"/>
      <c r="L130" s="14" t="s">
        <v>97</v>
      </c>
      <c r="M130" s="14" t="s">
        <v>62</v>
      </c>
      <c r="N130" s="14" t="s">
        <v>63</v>
      </c>
      <c r="O130" s="14" t="s">
        <v>64</v>
      </c>
      <c r="P130" s="16" t="n">
        <v>0.00522</v>
      </c>
      <c r="Q130" s="17" t="n">
        <v>1800000</v>
      </c>
      <c r="R130" s="18" t="n">
        <f aca="false">IF(Q130&lt;=Parametros!$B$4,Parametros!$B$3,0)</f>
        <v>249095</v>
      </c>
      <c r="S130" s="18" t="n">
        <f aca="false">Q130*Parametros!$B$5</f>
        <v>72000</v>
      </c>
      <c r="T130" s="18" t="n">
        <f aca="false">Q130*Parametros!$B$6</f>
        <v>72000</v>
      </c>
      <c r="U130" s="18" t="n">
        <f aca="false">(Q130+R130)*Parametros!$B$10</f>
        <v>170757.916666667</v>
      </c>
      <c r="V130" s="18" t="n">
        <f aca="false">U130*Parametros!$B$11</f>
        <v>20490.95</v>
      </c>
      <c r="W130" s="18" t="n">
        <f aca="false">(Q130+R130)*Parametros!$B$12</f>
        <v>170757.916666667</v>
      </c>
      <c r="X130" s="18" t="n">
        <f aca="false">Q130*Parametros!$B$13</f>
        <v>75060</v>
      </c>
      <c r="Y130" s="18" t="n">
        <f aca="false">Q130*Parametros!$B$7</f>
        <v>153000</v>
      </c>
      <c r="Z130" s="18" t="n">
        <f aca="false">Q130*Parametros!$B$8</f>
        <v>216000</v>
      </c>
      <c r="AA130" s="18" t="n">
        <f aca="false">Q130*Parametros!$B$9</f>
        <v>72000</v>
      </c>
      <c r="AB130" s="18" t="n">
        <f aca="false">Q130*P130</f>
        <v>9396</v>
      </c>
    </row>
    <row r="131" customFormat="false" ht="15" hidden="false" customHeight="false" outlineLevel="0" collapsed="false">
      <c r="A131" s="14" t="s">
        <v>320</v>
      </c>
      <c r="B131" s="14" t="s">
        <v>237</v>
      </c>
      <c r="C131" s="14" t="s">
        <v>226</v>
      </c>
      <c r="D131" s="14" t="s">
        <v>56</v>
      </c>
      <c r="E131" s="15" t="n">
        <v>29877</v>
      </c>
      <c r="F131" s="14" t="s">
        <v>57</v>
      </c>
      <c r="G131" s="14" t="s">
        <v>58</v>
      </c>
      <c r="H131" s="14" t="s">
        <v>59</v>
      </c>
      <c r="I131" s="14" t="s">
        <v>112</v>
      </c>
      <c r="J131" s="15" t="n">
        <v>45505</v>
      </c>
      <c r="K131" s="15"/>
      <c r="L131" s="14" t="s">
        <v>97</v>
      </c>
      <c r="M131" s="14" t="s">
        <v>98</v>
      </c>
      <c r="N131" s="14" t="s">
        <v>63</v>
      </c>
      <c r="O131" s="14" t="s">
        <v>64</v>
      </c>
      <c r="P131" s="16" t="n">
        <v>0.0696</v>
      </c>
      <c r="Q131" s="17" t="n">
        <v>1900000</v>
      </c>
      <c r="R131" s="18" t="n">
        <f aca="false">IF(Q131&lt;=Parametros!$B$4,Parametros!$B$3,0)</f>
        <v>249095</v>
      </c>
      <c r="S131" s="18" t="n">
        <f aca="false">Q131*Parametros!$B$5</f>
        <v>76000</v>
      </c>
      <c r="T131" s="18" t="n">
        <f aca="false">Q131*Parametros!$B$6</f>
        <v>76000</v>
      </c>
      <c r="U131" s="18" t="n">
        <f aca="false">(Q131+R131)*Parametros!$B$10</f>
        <v>179091.25</v>
      </c>
      <c r="V131" s="18" t="n">
        <f aca="false">U131*Parametros!$B$11</f>
        <v>21490.95</v>
      </c>
      <c r="W131" s="18" t="n">
        <f aca="false">(Q131+R131)*Parametros!$B$12</f>
        <v>179091.25</v>
      </c>
      <c r="X131" s="18" t="n">
        <f aca="false">Q131*Parametros!$B$13</f>
        <v>79230</v>
      </c>
      <c r="Y131" s="18" t="n">
        <f aca="false">Q131*Parametros!$B$7</f>
        <v>161500</v>
      </c>
      <c r="Z131" s="18" t="n">
        <f aca="false">Q131*Parametros!$B$8</f>
        <v>228000</v>
      </c>
      <c r="AA131" s="18" t="n">
        <f aca="false">Q131*Parametros!$B$9</f>
        <v>76000</v>
      </c>
      <c r="AB131" s="18" t="n">
        <f aca="false">Q131*P131</f>
        <v>132240</v>
      </c>
    </row>
    <row r="132" customFormat="false" ht="15" hidden="false" customHeight="false" outlineLevel="0" collapsed="false">
      <c r="A132" s="14" t="s">
        <v>321</v>
      </c>
      <c r="B132" s="14" t="s">
        <v>110</v>
      </c>
      <c r="C132" s="14" t="s">
        <v>255</v>
      </c>
      <c r="D132" s="14" t="s">
        <v>77</v>
      </c>
      <c r="E132" s="15" t="n">
        <v>32108</v>
      </c>
      <c r="F132" s="14" t="s">
        <v>57</v>
      </c>
      <c r="G132" s="14" t="s">
        <v>58</v>
      </c>
      <c r="H132" s="14" t="s">
        <v>59</v>
      </c>
      <c r="I132" s="14" t="s">
        <v>295</v>
      </c>
      <c r="J132" s="15" t="n">
        <v>45901</v>
      </c>
      <c r="K132" s="15" t="n">
        <v>46174</v>
      </c>
      <c r="L132" s="14" t="s">
        <v>97</v>
      </c>
      <c r="M132" s="14" t="s">
        <v>62</v>
      </c>
      <c r="N132" s="14" t="s">
        <v>63</v>
      </c>
      <c r="O132" s="14" t="s">
        <v>64</v>
      </c>
      <c r="P132" s="16" t="n">
        <v>0.02436</v>
      </c>
      <c r="Q132" s="17" t="n">
        <v>3000000</v>
      </c>
      <c r="R132" s="18" t="n">
        <f aca="false">IF(Q132&lt;=Parametros!$B$4,Parametros!$B$3,0)</f>
        <v>249095</v>
      </c>
      <c r="S132" s="18" t="n">
        <f aca="false">Q132*Parametros!$B$5</f>
        <v>120000</v>
      </c>
      <c r="T132" s="18" t="n">
        <f aca="false">Q132*Parametros!$B$6</f>
        <v>120000</v>
      </c>
      <c r="U132" s="18" t="n">
        <f aca="false">(Q132+R132)*Parametros!$B$10</f>
        <v>270757.916666667</v>
      </c>
      <c r="V132" s="18" t="n">
        <f aca="false">U132*Parametros!$B$11</f>
        <v>32490.95</v>
      </c>
      <c r="W132" s="18" t="n">
        <f aca="false">(Q132+R132)*Parametros!$B$12</f>
        <v>270757.916666667</v>
      </c>
      <c r="X132" s="18" t="n">
        <f aca="false">Q132*Parametros!$B$13</f>
        <v>125100</v>
      </c>
      <c r="Y132" s="18" t="n">
        <f aca="false">Q132*Parametros!$B$7</f>
        <v>255000</v>
      </c>
      <c r="Z132" s="18" t="n">
        <f aca="false">Q132*Parametros!$B$8</f>
        <v>360000</v>
      </c>
      <c r="AA132" s="18" t="n">
        <f aca="false">Q132*Parametros!$B$9</f>
        <v>120000</v>
      </c>
      <c r="AB132" s="18" t="n">
        <f aca="false">Q132*P132</f>
        <v>73080</v>
      </c>
    </row>
    <row r="133" customFormat="false" ht="15" hidden="false" customHeight="false" outlineLevel="0" collapsed="false">
      <c r="A133" s="14" t="s">
        <v>322</v>
      </c>
      <c r="B133" s="14" t="s">
        <v>199</v>
      </c>
      <c r="C133" s="14" t="s">
        <v>197</v>
      </c>
      <c r="D133" s="14" t="s">
        <v>56</v>
      </c>
      <c r="E133" s="15" t="n">
        <v>32128</v>
      </c>
      <c r="F133" s="14" t="s">
        <v>57</v>
      </c>
      <c r="G133" s="14" t="s">
        <v>58</v>
      </c>
      <c r="H133" s="14" t="s">
        <v>59</v>
      </c>
      <c r="I133" s="14" t="s">
        <v>140</v>
      </c>
      <c r="J133" s="15" t="n">
        <v>45519</v>
      </c>
      <c r="K133" s="15"/>
      <c r="L133" s="14" t="s">
        <v>86</v>
      </c>
      <c r="M133" s="14" t="s">
        <v>62</v>
      </c>
      <c r="N133" s="14" t="s">
        <v>63</v>
      </c>
      <c r="O133" s="14" t="s">
        <v>64</v>
      </c>
      <c r="P133" s="16" t="n">
        <v>0.0696</v>
      </c>
      <c r="Q133" s="17" t="n">
        <v>2300000</v>
      </c>
      <c r="R133" s="18" t="n">
        <f aca="false">IF(Q133&lt;=Parametros!$B$4,Parametros!$B$3,0)</f>
        <v>249095</v>
      </c>
      <c r="S133" s="18" t="n">
        <f aca="false">Q133*Parametros!$B$5</f>
        <v>92000</v>
      </c>
      <c r="T133" s="18" t="n">
        <f aca="false">Q133*Parametros!$B$6</f>
        <v>92000</v>
      </c>
      <c r="U133" s="18" t="n">
        <f aca="false">(Q133+R133)*Parametros!$B$10</f>
        <v>212424.583333333</v>
      </c>
      <c r="V133" s="18" t="n">
        <f aca="false">U133*Parametros!$B$11</f>
        <v>25490.95</v>
      </c>
      <c r="W133" s="18" t="n">
        <f aca="false">(Q133+R133)*Parametros!$B$12</f>
        <v>212424.583333333</v>
      </c>
      <c r="X133" s="18" t="n">
        <f aca="false">Q133*Parametros!$B$13</f>
        <v>95910</v>
      </c>
      <c r="Y133" s="18" t="n">
        <f aca="false">Q133*Parametros!$B$7</f>
        <v>195500</v>
      </c>
      <c r="Z133" s="18" t="n">
        <f aca="false">Q133*Parametros!$B$8</f>
        <v>276000</v>
      </c>
      <c r="AA133" s="18" t="n">
        <f aca="false">Q133*Parametros!$B$9</f>
        <v>92000</v>
      </c>
      <c r="AB133" s="18" t="n">
        <f aca="false">Q133*P133</f>
        <v>160080</v>
      </c>
    </row>
    <row r="134" customFormat="false" ht="15" hidden="false" customHeight="false" outlineLevel="0" collapsed="false">
      <c r="A134" s="14" t="s">
        <v>323</v>
      </c>
      <c r="B134" s="14" t="s">
        <v>155</v>
      </c>
      <c r="C134" s="14" t="s">
        <v>134</v>
      </c>
      <c r="D134" s="14" t="s">
        <v>77</v>
      </c>
      <c r="E134" s="15" t="n">
        <v>35703</v>
      </c>
      <c r="F134" s="14" t="s">
        <v>57</v>
      </c>
      <c r="G134" s="14" t="s">
        <v>58</v>
      </c>
      <c r="H134" s="14" t="s">
        <v>59</v>
      </c>
      <c r="I134" s="14" t="s">
        <v>112</v>
      </c>
      <c r="J134" s="15" t="n">
        <v>45848</v>
      </c>
      <c r="K134" s="15" t="n">
        <v>46054</v>
      </c>
      <c r="L134" s="14" t="s">
        <v>86</v>
      </c>
      <c r="M134" s="14" t="s">
        <v>62</v>
      </c>
      <c r="N134" s="14" t="s">
        <v>63</v>
      </c>
      <c r="O134" s="14" t="s">
        <v>64</v>
      </c>
      <c r="P134" s="16" t="n">
        <v>0.0696</v>
      </c>
      <c r="Q134" s="17" t="n">
        <v>1900000</v>
      </c>
      <c r="R134" s="18" t="n">
        <f aca="false">IF(Q134&lt;=Parametros!$B$4,Parametros!$B$3,0)</f>
        <v>249095</v>
      </c>
      <c r="S134" s="18" t="n">
        <f aca="false">Q134*Parametros!$B$5</f>
        <v>76000</v>
      </c>
      <c r="T134" s="18" t="n">
        <f aca="false">Q134*Parametros!$B$6</f>
        <v>76000</v>
      </c>
      <c r="U134" s="18" t="n">
        <f aca="false">(Q134+R134)*Parametros!$B$10</f>
        <v>179091.25</v>
      </c>
      <c r="V134" s="18" t="n">
        <f aca="false">U134*Parametros!$B$11</f>
        <v>21490.95</v>
      </c>
      <c r="W134" s="18" t="n">
        <f aca="false">(Q134+R134)*Parametros!$B$12</f>
        <v>179091.25</v>
      </c>
      <c r="X134" s="18" t="n">
        <f aca="false">Q134*Parametros!$B$13</f>
        <v>79230</v>
      </c>
      <c r="Y134" s="18" t="n">
        <f aca="false">Q134*Parametros!$B$7</f>
        <v>161500</v>
      </c>
      <c r="Z134" s="18" t="n">
        <f aca="false">Q134*Parametros!$B$8</f>
        <v>228000</v>
      </c>
      <c r="AA134" s="18" t="n">
        <f aca="false">Q134*Parametros!$B$9</f>
        <v>76000</v>
      </c>
      <c r="AB134" s="18" t="n">
        <f aca="false">Q134*P134</f>
        <v>132240</v>
      </c>
    </row>
    <row r="135" customFormat="false" ht="15" hidden="false" customHeight="false" outlineLevel="0" collapsed="false">
      <c r="A135" s="14" t="s">
        <v>324</v>
      </c>
      <c r="B135" s="14" t="s">
        <v>204</v>
      </c>
      <c r="C135" s="14" t="s">
        <v>82</v>
      </c>
      <c r="D135" s="14" t="s">
        <v>77</v>
      </c>
      <c r="E135" s="15" t="n">
        <v>33084</v>
      </c>
      <c r="F135" s="14" t="s">
        <v>57</v>
      </c>
      <c r="G135" s="14" t="s">
        <v>58</v>
      </c>
      <c r="H135" s="14" t="s">
        <v>59</v>
      </c>
      <c r="I135" s="14" t="s">
        <v>128</v>
      </c>
      <c r="J135" s="15" t="n">
        <v>45456</v>
      </c>
      <c r="K135" s="15"/>
      <c r="L135" s="14" t="s">
        <v>78</v>
      </c>
      <c r="M135" s="14" t="s">
        <v>62</v>
      </c>
      <c r="N135" s="14" t="s">
        <v>63</v>
      </c>
      <c r="O135" s="14" t="s">
        <v>64</v>
      </c>
      <c r="P135" s="16" t="n">
        <v>0.00522</v>
      </c>
      <c r="Q135" s="17" t="n">
        <v>1750905</v>
      </c>
      <c r="R135" s="18" t="n">
        <f aca="false">IF(Q135&lt;=Parametros!$B$4,Parametros!$B$3,0)</f>
        <v>249095</v>
      </c>
      <c r="S135" s="18" t="n">
        <f aca="false">Q135*Parametros!$B$5</f>
        <v>70036.2</v>
      </c>
      <c r="T135" s="18" t="n">
        <f aca="false">Q135*Parametros!$B$6</f>
        <v>70036.2</v>
      </c>
      <c r="U135" s="18" t="n">
        <f aca="false">(Q135+R135)*Parametros!$B$10</f>
        <v>166666.666666667</v>
      </c>
      <c r="V135" s="18" t="n">
        <f aca="false">U135*Parametros!$B$11</f>
        <v>20000</v>
      </c>
      <c r="W135" s="18" t="n">
        <f aca="false">(Q135+R135)*Parametros!$B$12</f>
        <v>166666.666666667</v>
      </c>
      <c r="X135" s="18" t="n">
        <f aca="false">Q135*Parametros!$B$13</f>
        <v>73012.7385</v>
      </c>
      <c r="Y135" s="18" t="n">
        <f aca="false">Q135*Parametros!$B$7</f>
        <v>148826.925</v>
      </c>
      <c r="Z135" s="18" t="n">
        <f aca="false">Q135*Parametros!$B$8</f>
        <v>210108.6</v>
      </c>
      <c r="AA135" s="18" t="n">
        <f aca="false">Q135*Parametros!$B$9</f>
        <v>70036.2</v>
      </c>
      <c r="AB135" s="18" t="n">
        <f aca="false">Q135*P135</f>
        <v>9139.7241</v>
      </c>
    </row>
    <row r="136" customFormat="false" ht="15" hidden="false" customHeight="false" outlineLevel="0" collapsed="false">
      <c r="A136" s="14" t="s">
        <v>325</v>
      </c>
      <c r="B136" s="14" t="s">
        <v>217</v>
      </c>
      <c r="C136" s="14" t="s">
        <v>326</v>
      </c>
      <c r="D136" s="14" t="s">
        <v>56</v>
      </c>
      <c r="E136" s="15" t="n">
        <v>38629</v>
      </c>
      <c r="F136" s="14" t="s">
        <v>57</v>
      </c>
      <c r="G136" s="14" t="s">
        <v>58</v>
      </c>
      <c r="H136" s="14" t="s">
        <v>59</v>
      </c>
      <c r="I136" s="14" t="s">
        <v>112</v>
      </c>
      <c r="J136" s="15" t="n">
        <v>45200</v>
      </c>
      <c r="K136" s="15"/>
      <c r="L136" s="14" t="s">
        <v>61</v>
      </c>
      <c r="M136" s="14" t="s">
        <v>62</v>
      </c>
      <c r="N136" s="14" t="s">
        <v>63</v>
      </c>
      <c r="O136" s="14" t="s">
        <v>64</v>
      </c>
      <c r="P136" s="16" t="n">
        <v>0.0696</v>
      </c>
      <c r="Q136" s="17" t="n">
        <v>1900000</v>
      </c>
      <c r="R136" s="18" t="n">
        <f aca="false">IF(Q136&lt;=Parametros!$B$4,Parametros!$B$3,0)</f>
        <v>249095</v>
      </c>
      <c r="S136" s="18" t="n">
        <f aca="false">Q136*Parametros!$B$5</f>
        <v>76000</v>
      </c>
      <c r="T136" s="18" t="n">
        <f aca="false">Q136*Parametros!$B$6</f>
        <v>76000</v>
      </c>
      <c r="U136" s="18" t="n">
        <f aca="false">(Q136+R136)*Parametros!$B$10</f>
        <v>179091.25</v>
      </c>
      <c r="V136" s="18" t="n">
        <f aca="false">U136*Parametros!$B$11</f>
        <v>21490.95</v>
      </c>
      <c r="W136" s="18" t="n">
        <f aca="false">(Q136+R136)*Parametros!$B$12</f>
        <v>179091.25</v>
      </c>
      <c r="X136" s="18" t="n">
        <f aca="false">Q136*Parametros!$B$13</f>
        <v>79230</v>
      </c>
      <c r="Y136" s="18" t="n">
        <f aca="false">Q136*Parametros!$B$7</f>
        <v>161500</v>
      </c>
      <c r="Z136" s="18" t="n">
        <f aca="false">Q136*Parametros!$B$8</f>
        <v>228000</v>
      </c>
      <c r="AA136" s="18" t="n">
        <f aca="false">Q136*Parametros!$B$9</f>
        <v>76000</v>
      </c>
      <c r="AB136" s="18" t="n">
        <f aca="false">Q136*P136</f>
        <v>132240</v>
      </c>
    </row>
    <row r="137" customFormat="false" ht="15" hidden="false" customHeight="false" outlineLevel="0" collapsed="false">
      <c r="A137" s="14" t="s">
        <v>327</v>
      </c>
      <c r="B137" s="14" t="s">
        <v>124</v>
      </c>
      <c r="C137" s="14" t="s">
        <v>215</v>
      </c>
      <c r="D137" s="14" t="s">
        <v>56</v>
      </c>
      <c r="E137" s="15" t="n">
        <v>29937</v>
      </c>
      <c r="F137" s="14" t="s">
        <v>57</v>
      </c>
      <c r="G137" s="14" t="s">
        <v>58</v>
      </c>
      <c r="H137" s="14" t="s">
        <v>59</v>
      </c>
      <c r="I137" s="14" t="s">
        <v>152</v>
      </c>
      <c r="J137" s="15" t="n">
        <v>45531</v>
      </c>
      <c r="K137" s="15"/>
      <c r="L137" s="14" t="s">
        <v>86</v>
      </c>
      <c r="M137" s="14" t="s">
        <v>79</v>
      </c>
      <c r="N137" s="14" t="s">
        <v>63</v>
      </c>
      <c r="O137" s="14" t="s">
        <v>83</v>
      </c>
      <c r="P137" s="16" t="n">
        <v>0.00522</v>
      </c>
      <c r="Q137" s="17" t="n">
        <v>1750905</v>
      </c>
      <c r="R137" s="18" t="n">
        <f aca="false">IF(Q137&lt;=Parametros!$B$4,Parametros!$B$3,0)</f>
        <v>249095</v>
      </c>
      <c r="S137" s="18" t="n">
        <f aca="false">Q137*Parametros!$B$5</f>
        <v>70036.2</v>
      </c>
      <c r="T137" s="18" t="n">
        <f aca="false">Q137*Parametros!$B$6</f>
        <v>70036.2</v>
      </c>
      <c r="U137" s="18" t="n">
        <f aca="false">(Q137+R137)*Parametros!$B$10</f>
        <v>166666.666666667</v>
      </c>
      <c r="V137" s="18" t="n">
        <f aca="false">U137*Parametros!$B$11</f>
        <v>20000</v>
      </c>
      <c r="W137" s="18" t="n">
        <f aca="false">(Q137+R137)*Parametros!$B$12</f>
        <v>166666.666666667</v>
      </c>
      <c r="X137" s="18" t="n">
        <f aca="false">Q137*Parametros!$B$13</f>
        <v>73012.7385</v>
      </c>
      <c r="Y137" s="18" t="n">
        <f aca="false">Q137*Parametros!$B$7</f>
        <v>148826.925</v>
      </c>
      <c r="Z137" s="18" t="n">
        <f aca="false">Q137*Parametros!$B$8</f>
        <v>210108.6</v>
      </c>
      <c r="AA137" s="18" t="n">
        <f aca="false">Q137*Parametros!$B$9</f>
        <v>70036.2</v>
      </c>
      <c r="AB137" s="18" t="n">
        <f aca="false">Q137*P137</f>
        <v>9139.7241</v>
      </c>
    </row>
    <row r="138" customFormat="false" ht="15" hidden="false" customHeight="false" outlineLevel="0" collapsed="false">
      <c r="A138" s="14" t="s">
        <v>328</v>
      </c>
      <c r="B138" s="14" t="s">
        <v>100</v>
      </c>
      <c r="C138" s="14" t="s">
        <v>178</v>
      </c>
      <c r="D138" s="14" t="s">
        <v>56</v>
      </c>
      <c r="E138" s="15" t="n">
        <v>37774</v>
      </c>
      <c r="F138" s="14" t="s">
        <v>57</v>
      </c>
      <c r="G138" s="14" t="s">
        <v>58</v>
      </c>
      <c r="H138" s="14" t="s">
        <v>59</v>
      </c>
      <c r="I138" s="14" t="s">
        <v>289</v>
      </c>
      <c r="J138" s="15" t="n">
        <v>45292</v>
      </c>
      <c r="K138" s="15"/>
      <c r="L138" s="14" t="s">
        <v>97</v>
      </c>
      <c r="M138" s="14" t="s">
        <v>73</v>
      </c>
      <c r="N138" s="14" t="s">
        <v>63</v>
      </c>
      <c r="O138" s="14" t="s">
        <v>64</v>
      </c>
      <c r="P138" s="16" t="n">
        <v>0.00522</v>
      </c>
      <c r="Q138" s="17" t="n">
        <v>1800000</v>
      </c>
      <c r="R138" s="18" t="n">
        <f aca="false">IF(Q138&lt;=Parametros!$B$4,Parametros!$B$3,0)</f>
        <v>249095</v>
      </c>
      <c r="S138" s="18" t="n">
        <f aca="false">Q138*Parametros!$B$5</f>
        <v>72000</v>
      </c>
      <c r="T138" s="18" t="n">
        <f aca="false">Q138*Parametros!$B$6</f>
        <v>72000</v>
      </c>
      <c r="U138" s="18" t="n">
        <f aca="false">(Q138+R138)*Parametros!$B$10</f>
        <v>170757.916666667</v>
      </c>
      <c r="V138" s="18" t="n">
        <f aca="false">U138*Parametros!$B$11</f>
        <v>20490.95</v>
      </c>
      <c r="W138" s="18" t="n">
        <f aca="false">(Q138+R138)*Parametros!$B$12</f>
        <v>170757.916666667</v>
      </c>
      <c r="X138" s="18" t="n">
        <f aca="false">Q138*Parametros!$B$13</f>
        <v>75060</v>
      </c>
      <c r="Y138" s="18" t="n">
        <f aca="false">Q138*Parametros!$B$7</f>
        <v>153000</v>
      </c>
      <c r="Z138" s="18" t="n">
        <f aca="false">Q138*Parametros!$B$8</f>
        <v>216000</v>
      </c>
      <c r="AA138" s="18" t="n">
        <f aca="false">Q138*Parametros!$B$9</f>
        <v>72000</v>
      </c>
      <c r="AB138" s="18" t="n">
        <f aca="false">Q138*P138</f>
        <v>9396</v>
      </c>
    </row>
    <row r="139" customFormat="false" ht="15" hidden="false" customHeight="false" outlineLevel="0" collapsed="false">
      <c r="A139" s="14" t="s">
        <v>329</v>
      </c>
      <c r="B139" s="14" t="s">
        <v>124</v>
      </c>
      <c r="C139" s="14" t="s">
        <v>151</v>
      </c>
      <c r="D139" s="14" t="s">
        <v>56</v>
      </c>
      <c r="E139" s="15" t="n">
        <v>27784</v>
      </c>
      <c r="F139" s="14" t="s">
        <v>57</v>
      </c>
      <c r="G139" s="14" t="s">
        <v>58</v>
      </c>
      <c r="H139" s="14" t="s">
        <v>59</v>
      </c>
      <c r="I139" s="14" t="s">
        <v>112</v>
      </c>
      <c r="J139" s="15" t="n">
        <v>45292</v>
      </c>
      <c r="K139" s="15"/>
      <c r="L139" s="14" t="s">
        <v>97</v>
      </c>
      <c r="M139" s="14" t="s">
        <v>62</v>
      </c>
      <c r="N139" s="14" t="s">
        <v>63</v>
      </c>
      <c r="O139" s="14" t="s">
        <v>64</v>
      </c>
      <c r="P139" s="16" t="n">
        <v>0.0696</v>
      </c>
      <c r="Q139" s="17" t="n">
        <v>1900000</v>
      </c>
      <c r="R139" s="18" t="n">
        <f aca="false">IF(Q139&lt;=Parametros!$B$4,Parametros!$B$3,0)</f>
        <v>249095</v>
      </c>
      <c r="S139" s="18" t="n">
        <f aca="false">Q139*Parametros!$B$5</f>
        <v>76000</v>
      </c>
      <c r="T139" s="18" t="n">
        <f aca="false">Q139*Parametros!$B$6</f>
        <v>76000</v>
      </c>
      <c r="U139" s="18" t="n">
        <f aca="false">(Q139+R139)*Parametros!$B$10</f>
        <v>179091.25</v>
      </c>
      <c r="V139" s="18" t="n">
        <f aca="false">U139*Parametros!$B$11</f>
        <v>21490.95</v>
      </c>
      <c r="W139" s="18" t="n">
        <f aca="false">(Q139+R139)*Parametros!$B$12</f>
        <v>179091.25</v>
      </c>
      <c r="X139" s="18" t="n">
        <f aca="false">Q139*Parametros!$B$13</f>
        <v>79230</v>
      </c>
      <c r="Y139" s="18" t="n">
        <f aca="false">Q139*Parametros!$B$7</f>
        <v>161500</v>
      </c>
      <c r="Z139" s="18" t="n">
        <f aca="false">Q139*Parametros!$B$8</f>
        <v>228000</v>
      </c>
      <c r="AA139" s="18" t="n">
        <f aca="false">Q139*Parametros!$B$9</f>
        <v>76000</v>
      </c>
      <c r="AB139" s="18" t="n">
        <f aca="false">Q139*P139</f>
        <v>132240</v>
      </c>
    </row>
    <row r="140" customFormat="false" ht="15" hidden="false" customHeight="false" outlineLevel="0" collapsed="false">
      <c r="A140" s="14" t="s">
        <v>330</v>
      </c>
      <c r="B140" s="14" t="s">
        <v>165</v>
      </c>
      <c r="C140" s="14" t="s">
        <v>103</v>
      </c>
      <c r="D140" s="14" t="s">
        <v>56</v>
      </c>
      <c r="E140" s="15" t="n">
        <v>36622</v>
      </c>
      <c r="F140" s="14" t="s">
        <v>57</v>
      </c>
      <c r="G140" s="14" t="s">
        <v>58</v>
      </c>
      <c r="H140" s="14" t="s">
        <v>59</v>
      </c>
      <c r="I140" s="14" t="s">
        <v>112</v>
      </c>
      <c r="J140" s="15" t="n">
        <v>45717</v>
      </c>
      <c r="K140" s="15"/>
      <c r="L140" s="14" t="s">
        <v>72</v>
      </c>
      <c r="M140" s="14" t="s">
        <v>73</v>
      </c>
      <c r="N140" s="14" t="s">
        <v>63</v>
      </c>
      <c r="O140" s="14" t="s">
        <v>64</v>
      </c>
      <c r="P140" s="16" t="n">
        <v>0.0696</v>
      </c>
      <c r="Q140" s="17" t="n">
        <v>1900000</v>
      </c>
      <c r="R140" s="18" t="n">
        <f aca="false">IF(Q140&lt;=Parametros!$B$4,Parametros!$B$3,0)</f>
        <v>249095</v>
      </c>
      <c r="S140" s="18" t="n">
        <f aca="false">Q140*Parametros!$B$5</f>
        <v>76000</v>
      </c>
      <c r="T140" s="18" t="n">
        <f aca="false">Q140*Parametros!$B$6</f>
        <v>76000</v>
      </c>
      <c r="U140" s="18" t="n">
        <f aca="false">(Q140+R140)*Parametros!$B$10</f>
        <v>179091.25</v>
      </c>
      <c r="V140" s="18" t="n">
        <f aca="false">U140*Parametros!$B$11</f>
        <v>21490.95</v>
      </c>
      <c r="W140" s="18" t="n">
        <f aca="false">(Q140+R140)*Parametros!$B$12</f>
        <v>179091.25</v>
      </c>
      <c r="X140" s="18" t="n">
        <f aca="false">Q140*Parametros!$B$13</f>
        <v>79230</v>
      </c>
      <c r="Y140" s="18" t="n">
        <f aca="false">Q140*Parametros!$B$7</f>
        <v>161500</v>
      </c>
      <c r="Z140" s="18" t="n">
        <f aca="false">Q140*Parametros!$B$8</f>
        <v>228000</v>
      </c>
      <c r="AA140" s="18" t="n">
        <f aca="false">Q140*Parametros!$B$9</f>
        <v>76000</v>
      </c>
      <c r="AB140" s="18" t="n">
        <f aca="false">Q140*P140</f>
        <v>132240</v>
      </c>
    </row>
    <row r="141" customFormat="false" ht="15" hidden="false" customHeight="false" outlineLevel="0" collapsed="false">
      <c r="A141" s="14" t="s">
        <v>331</v>
      </c>
      <c r="B141" s="14" t="s">
        <v>91</v>
      </c>
      <c r="C141" s="14" t="s">
        <v>197</v>
      </c>
      <c r="D141" s="14" t="s">
        <v>56</v>
      </c>
      <c r="E141" s="15" t="n">
        <v>32050</v>
      </c>
      <c r="F141" s="14" t="s">
        <v>57</v>
      </c>
      <c r="G141" s="14" t="s">
        <v>58</v>
      </c>
      <c r="H141" s="14" t="s">
        <v>59</v>
      </c>
      <c r="I141" s="14" t="s">
        <v>112</v>
      </c>
      <c r="J141" s="15" t="n">
        <v>45967</v>
      </c>
      <c r="K141" s="15" t="n">
        <v>46113</v>
      </c>
      <c r="L141" s="14" t="s">
        <v>61</v>
      </c>
      <c r="M141" s="14" t="s">
        <v>62</v>
      </c>
      <c r="N141" s="14" t="s">
        <v>63</v>
      </c>
      <c r="O141" s="14" t="s">
        <v>64</v>
      </c>
      <c r="P141" s="16" t="n">
        <v>0.0696</v>
      </c>
      <c r="Q141" s="17" t="n">
        <v>1900000</v>
      </c>
      <c r="R141" s="18" t="n">
        <f aca="false">IF(Q141&lt;=Parametros!$B$4,Parametros!$B$3,0)</f>
        <v>249095</v>
      </c>
      <c r="S141" s="18" t="n">
        <f aca="false">Q141*Parametros!$B$5</f>
        <v>76000</v>
      </c>
      <c r="T141" s="18" t="n">
        <f aca="false">Q141*Parametros!$B$6</f>
        <v>76000</v>
      </c>
      <c r="U141" s="18" t="n">
        <f aca="false">(Q141+R141)*Parametros!$B$10</f>
        <v>179091.25</v>
      </c>
      <c r="V141" s="18" t="n">
        <f aca="false">U141*Parametros!$B$11</f>
        <v>21490.95</v>
      </c>
      <c r="W141" s="18" t="n">
        <f aca="false">(Q141+R141)*Parametros!$B$12</f>
        <v>179091.25</v>
      </c>
      <c r="X141" s="18" t="n">
        <f aca="false">Q141*Parametros!$B$13</f>
        <v>79230</v>
      </c>
      <c r="Y141" s="18" t="n">
        <f aca="false">Q141*Parametros!$B$7</f>
        <v>161500</v>
      </c>
      <c r="Z141" s="18" t="n">
        <f aca="false">Q141*Parametros!$B$8</f>
        <v>228000</v>
      </c>
      <c r="AA141" s="18" t="n">
        <f aca="false">Q141*Parametros!$B$9</f>
        <v>76000</v>
      </c>
      <c r="AB141" s="18" t="n">
        <f aca="false">Q141*P141</f>
        <v>132240</v>
      </c>
    </row>
    <row r="142" customFormat="false" ht="15" hidden="false" customHeight="false" outlineLevel="0" collapsed="false">
      <c r="A142" s="14" t="s">
        <v>332</v>
      </c>
      <c r="B142" s="14" t="s">
        <v>130</v>
      </c>
      <c r="C142" s="14" t="s">
        <v>142</v>
      </c>
      <c r="D142" s="14" t="s">
        <v>56</v>
      </c>
      <c r="E142" s="15" t="n">
        <v>36710</v>
      </c>
      <c r="F142" s="14" t="s">
        <v>57</v>
      </c>
      <c r="G142" s="14" t="s">
        <v>58</v>
      </c>
      <c r="H142" s="14" t="s">
        <v>59</v>
      </c>
      <c r="I142" s="14" t="s">
        <v>128</v>
      </c>
      <c r="J142" s="15" t="n">
        <v>45931</v>
      </c>
      <c r="K142" s="15"/>
      <c r="L142" s="14" t="s">
        <v>86</v>
      </c>
      <c r="M142" s="14" t="s">
        <v>73</v>
      </c>
      <c r="N142" s="14" t="s">
        <v>63</v>
      </c>
      <c r="O142" s="14" t="s">
        <v>64</v>
      </c>
      <c r="P142" s="16" t="n">
        <v>0.00522</v>
      </c>
      <c r="Q142" s="17" t="n">
        <v>1750905</v>
      </c>
      <c r="R142" s="18" t="n">
        <f aca="false">IF(Q142&lt;=Parametros!$B$4,Parametros!$B$3,0)</f>
        <v>249095</v>
      </c>
      <c r="S142" s="18" t="n">
        <f aca="false">Q142*Parametros!$B$5</f>
        <v>70036.2</v>
      </c>
      <c r="T142" s="18" t="n">
        <f aca="false">Q142*Parametros!$B$6</f>
        <v>70036.2</v>
      </c>
      <c r="U142" s="18" t="n">
        <f aca="false">(Q142+R142)*Parametros!$B$10</f>
        <v>166666.666666667</v>
      </c>
      <c r="V142" s="18" t="n">
        <f aca="false">U142*Parametros!$B$11</f>
        <v>20000</v>
      </c>
      <c r="W142" s="18" t="n">
        <f aca="false">(Q142+R142)*Parametros!$B$12</f>
        <v>166666.666666667</v>
      </c>
      <c r="X142" s="18" t="n">
        <f aca="false">Q142*Parametros!$B$13</f>
        <v>73012.7385</v>
      </c>
      <c r="Y142" s="18" t="n">
        <f aca="false">Q142*Parametros!$B$7</f>
        <v>148826.925</v>
      </c>
      <c r="Z142" s="18" t="n">
        <f aca="false">Q142*Parametros!$B$8</f>
        <v>210108.6</v>
      </c>
      <c r="AA142" s="18" t="n">
        <f aca="false">Q142*Parametros!$B$9</f>
        <v>70036.2</v>
      </c>
      <c r="AB142" s="18" t="n">
        <f aca="false">Q142*P142</f>
        <v>9139.7241</v>
      </c>
    </row>
    <row r="143" customFormat="false" ht="15" hidden="false" customHeight="false" outlineLevel="0" collapsed="false">
      <c r="A143" s="14" t="s">
        <v>333</v>
      </c>
      <c r="B143" s="14" t="s">
        <v>196</v>
      </c>
      <c r="C143" s="14" t="s">
        <v>245</v>
      </c>
      <c r="D143" s="14" t="s">
        <v>56</v>
      </c>
      <c r="E143" s="15" t="n">
        <v>31857</v>
      </c>
      <c r="F143" s="14" t="s">
        <v>57</v>
      </c>
      <c r="G143" s="14" t="s">
        <v>58</v>
      </c>
      <c r="H143" s="14" t="s">
        <v>59</v>
      </c>
      <c r="I143" s="14" t="s">
        <v>188</v>
      </c>
      <c r="J143" s="15" t="n">
        <v>45323</v>
      </c>
      <c r="K143" s="15"/>
      <c r="L143" s="14" t="s">
        <v>78</v>
      </c>
      <c r="M143" s="14" t="s">
        <v>73</v>
      </c>
      <c r="N143" s="14" t="s">
        <v>63</v>
      </c>
      <c r="O143" s="14" t="s">
        <v>83</v>
      </c>
      <c r="P143" s="16" t="n">
        <v>0.0435</v>
      </c>
      <c r="Q143" s="17" t="n">
        <v>2600000</v>
      </c>
      <c r="R143" s="18" t="n">
        <f aca="false">IF(Q143&lt;=Parametros!$B$4,Parametros!$B$3,0)</f>
        <v>249095</v>
      </c>
      <c r="S143" s="18" t="n">
        <f aca="false">Q143*Parametros!$B$5</f>
        <v>104000</v>
      </c>
      <c r="T143" s="18" t="n">
        <f aca="false">Q143*Parametros!$B$6</f>
        <v>104000</v>
      </c>
      <c r="U143" s="18" t="n">
        <f aca="false">(Q143+R143)*Parametros!$B$10</f>
        <v>237424.583333333</v>
      </c>
      <c r="V143" s="18" t="n">
        <f aca="false">U143*Parametros!$B$11</f>
        <v>28490.95</v>
      </c>
      <c r="W143" s="18" t="n">
        <f aca="false">(Q143+R143)*Parametros!$B$12</f>
        <v>237424.583333333</v>
      </c>
      <c r="X143" s="18" t="n">
        <f aca="false">Q143*Parametros!$B$13</f>
        <v>108420</v>
      </c>
      <c r="Y143" s="18" t="n">
        <f aca="false">Q143*Parametros!$B$7</f>
        <v>221000</v>
      </c>
      <c r="Z143" s="18" t="n">
        <f aca="false">Q143*Parametros!$B$8</f>
        <v>312000</v>
      </c>
      <c r="AA143" s="18" t="n">
        <f aca="false">Q143*Parametros!$B$9</f>
        <v>104000</v>
      </c>
      <c r="AB143" s="18" t="n">
        <f aca="false">Q143*P143</f>
        <v>113100</v>
      </c>
    </row>
    <row r="144" customFormat="false" ht="15" hidden="false" customHeight="false" outlineLevel="0" collapsed="false">
      <c r="A144" s="14" t="s">
        <v>334</v>
      </c>
      <c r="B144" s="14" t="s">
        <v>130</v>
      </c>
      <c r="C144" s="14" t="s">
        <v>178</v>
      </c>
      <c r="D144" s="14" t="s">
        <v>56</v>
      </c>
      <c r="E144" s="15" t="n">
        <v>24434</v>
      </c>
      <c r="F144" s="14" t="s">
        <v>57</v>
      </c>
      <c r="G144" s="14" t="s">
        <v>58</v>
      </c>
      <c r="H144" s="14" t="s">
        <v>59</v>
      </c>
      <c r="I144" s="14" t="s">
        <v>171</v>
      </c>
      <c r="J144" s="15" t="n">
        <v>45684</v>
      </c>
      <c r="K144" s="15" t="n">
        <v>46054</v>
      </c>
      <c r="L144" s="14" t="s">
        <v>78</v>
      </c>
      <c r="M144" s="14" t="s">
        <v>62</v>
      </c>
      <c r="N144" s="14" t="s">
        <v>63</v>
      </c>
      <c r="O144" s="14" t="s">
        <v>64</v>
      </c>
      <c r="P144" s="16" t="n">
        <v>0.00522</v>
      </c>
      <c r="Q144" s="17" t="n">
        <v>1750905</v>
      </c>
      <c r="R144" s="18" t="n">
        <f aca="false">IF(Q144&lt;=Parametros!$B$4,Parametros!$B$3,0)</f>
        <v>249095</v>
      </c>
      <c r="S144" s="18" t="n">
        <f aca="false">Q144*Parametros!$B$5</f>
        <v>70036.2</v>
      </c>
      <c r="T144" s="18" t="n">
        <f aca="false">Q144*Parametros!$B$6</f>
        <v>70036.2</v>
      </c>
      <c r="U144" s="18" t="n">
        <f aca="false">(Q144+R144)*Parametros!$B$10</f>
        <v>166666.666666667</v>
      </c>
      <c r="V144" s="18" t="n">
        <f aca="false">U144*Parametros!$B$11</f>
        <v>20000</v>
      </c>
      <c r="W144" s="18" t="n">
        <f aca="false">(Q144+R144)*Parametros!$B$12</f>
        <v>166666.666666667</v>
      </c>
      <c r="X144" s="18" t="n">
        <f aca="false">Q144*Parametros!$B$13</f>
        <v>73012.7385</v>
      </c>
      <c r="Y144" s="18" t="n">
        <f aca="false">Q144*Parametros!$B$7</f>
        <v>148826.925</v>
      </c>
      <c r="Z144" s="18" t="n">
        <f aca="false">Q144*Parametros!$B$8</f>
        <v>210108.6</v>
      </c>
      <c r="AA144" s="18" t="n">
        <f aca="false">Q144*Parametros!$B$9</f>
        <v>70036.2</v>
      </c>
      <c r="AB144" s="18" t="n">
        <f aca="false">Q144*P144</f>
        <v>9139.7241</v>
      </c>
    </row>
    <row r="145" customFormat="false" ht="15" hidden="false" customHeight="false" outlineLevel="0" collapsed="false">
      <c r="A145" s="14" t="s">
        <v>335</v>
      </c>
      <c r="B145" s="14" t="s">
        <v>199</v>
      </c>
      <c r="C145" s="14" t="s">
        <v>215</v>
      </c>
      <c r="D145" s="14" t="s">
        <v>56</v>
      </c>
      <c r="E145" s="15" t="n">
        <v>31070</v>
      </c>
      <c r="F145" s="14" t="s">
        <v>57</v>
      </c>
      <c r="G145" s="14" t="s">
        <v>58</v>
      </c>
      <c r="H145" s="14" t="s">
        <v>59</v>
      </c>
      <c r="I145" s="14" t="s">
        <v>112</v>
      </c>
      <c r="J145" s="15" t="n">
        <v>45414</v>
      </c>
      <c r="K145" s="15" t="n">
        <v>46081</v>
      </c>
      <c r="L145" s="14" t="s">
        <v>61</v>
      </c>
      <c r="M145" s="14" t="s">
        <v>73</v>
      </c>
      <c r="N145" s="14" t="s">
        <v>63</v>
      </c>
      <c r="O145" s="14" t="s">
        <v>64</v>
      </c>
      <c r="P145" s="16" t="n">
        <v>0.0696</v>
      </c>
      <c r="Q145" s="17" t="n">
        <v>1900000</v>
      </c>
      <c r="R145" s="18" t="n">
        <f aca="false">IF(Q145&lt;=Parametros!$B$4,Parametros!$B$3,0)</f>
        <v>249095</v>
      </c>
      <c r="S145" s="18" t="n">
        <f aca="false">Q145*Parametros!$B$5</f>
        <v>76000</v>
      </c>
      <c r="T145" s="18" t="n">
        <f aca="false">Q145*Parametros!$B$6</f>
        <v>76000</v>
      </c>
      <c r="U145" s="18" t="n">
        <f aca="false">(Q145+R145)*Parametros!$B$10</f>
        <v>179091.25</v>
      </c>
      <c r="V145" s="18" t="n">
        <f aca="false">U145*Parametros!$B$11</f>
        <v>21490.95</v>
      </c>
      <c r="W145" s="18" t="n">
        <f aca="false">(Q145+R145)*Parametros!$B$12</f>
        <v>179091.25</v>
      </c>
      <c r="X145" s="18" t="n">
        <f aca="false">Q145*Parametros!$B$13</f>
        <v>79230</v>
      </c>
      <c r="Y145" s="18" t="n">
        <f aca="false">Q145*Parametros!$B$7</f>
        <v>161500</v>
      </c>
      <c r="Z145" s="18" t="n">
        <f aca="false">Q145*Parametros!$B$8</f>
        <v>228000</v>
      </c>
      <c r="AA145" s="18" t="n">
        <f aca="false">Q145*Parametros!$B$9</f>
        <v>76000</v>
      </c>
      <c r="AB145" s="18" t="n">
        <f aca="false">Q145*P145</f>
        <v>132240</v>
      </c>
    </row>
    <row r="146" customFormat="false" ht="15" hidden="false" customHeight="false" outlineLevel="0" collapsed="false">
      <c r="A146" s="14" t="s">
        <v>336</v>
      </c>
      <c r="B146" s="14" t="s">
        <v>204</v>
      </c>
      <c r="C146" s="14" t="s">
        <v>337</v>
      </c>
      <c r="D146" s="14" t="s">
        <v>77</v>
      </c>
      <c r="E146" s="15" t="n">
        <v>29722</v>
      </c>
      <c r="F146" s="14" t="s">
        <v>57</v>
      </c>
      <c r="G146" s="14" t="s">
        <v>58</v>
      </c>
      <c r="H146" s="14" t="s">
        <v>59</v>
      </c>
      <c r="I146" s="14" t="s">
        <v>112</v>
      </c>
      <c r="J146" s="15" t="n">
        <v>46204</v>
      </c>
      <c r="K146" s="15"/>
      <c r="L146" s="14" t="s">
        <v>86</v>
      </c>
      <c r="M146" s="14" t="s">
        <v>73</v>
      </c>
      <c r="N146" s="14" t="s">
        <v>63</v>
      </c>
      <c r="O146" s="14" t="s">
        <v>83</v>
      </c>
      <c r="P146" s="16" t="n">
        <v>0.0696</v>
      </c>
      <c r="Q146" s="17" t="n">
        <v>1900000</v>
      </c>
      <c r="R146" s="18" t="n">
        <f aca="false">IF(Q146&lt;=Parametros!$B$4,Parametros!$B$3,0)</f>
        <v>249095</v>
      </c>
      <c r="S146" s="18" t="n">
        <f aca="false">Q146*Parametros!$B$5</f>
        <v>76000</v>
      </c>
      <c r="T146" s="18" t="n">
        <f aca="false">Q146*Parametros!$B$6</f>
        <v>76000</v>
      </c>
      <c r="U146" s="18" t="n">
        <f aca="false">(Q146+R146)*Parametros!$B$10</f>
        <v>179091.25</v>
      </c>
      <c r="V146" s="18" t="n">
        <f aca="false">U146*Parametros!$B$11</f>
        <v>21490.95</v>
      </c>
      <c r="W146" s="18" t="n">
        <f aca="false">(Q146+R146)*Parametros!$B$12</f>
        <v>179091.25</v>
      </c>
      <c r="X146" s="18" t="n">
        <f aca="false">Q146*Parametros!$B$13</f>
        <v>79230</v>
      </c>
      <c r="Y146" s="18" t="n">
        <f aca="false">Q146*Parametros!$B$7</f>
        <v>161500</v>
      </c>
      <c r="Z146" s="18" t="n">
        <f aca="false">Q146*Parametros!$B$8</f>
        <v>228000</v>
      </c>
      <c r="AA146" s="18" t="n">
        <f aca="false">Q146*Parametros!$B$9</f>
        <v>76000</v>
      </c>
      <c r="AB146" s="18" t="n">
        <f aca="false">Q146*P146</f>
        <v>132240</v>
      </c>
    </row>
    <row r="147" customFormat="false" ht="15" hidden="false" customHeight="false" outlineLevel="0" collapsed="false">
      <c r="A147" s="14" t="s">
        <v>338</v>
      </c>
      <c r="B147" s="14" t="s">
        <v>214</v>
      </c>
      <c r="C147" s="14" t="s">
        <v>268</v>
      </c>
      <c r="D147" s="14" t="s">
        <v>77</v>
      </c>
      <c r="E147" s="15" t="n">
        <v>33107</v>
      </c>
      <c r="F147" s="14" t="s">
        <v>57</v>
      </c>
      <c r="G147" s="14" t="s">
        <v>58</v>
      </c>
      <c r="H147" s="14" t="s">
        <v>59</v>
      </c>
      <c r="I147" s="14" t="s">
        <v>140</v>
      </c>
      <c r="J147" s="15" t="n">
        <v>46037</v>
      </c>
      <c r="K147" s="15"/>
      <c r="L147" s="14" t="s">
        <v>246</v>
      </c>
      <c r="M147" s="14" t="s">
        <v>62</v>
      </c>
      <c r="N147" s="14" t="s">
        <v>63</v>
      </c>
      <c r="O147" s="14" t="s">
        <v>64</v>
      </c>
      <c r="P147" s="16" t="n">
        <v>0.0696</v>
      </c>
      <c r="Q147" s="17" t="n">
        <v>2300000</v>
      </c>
      <c r="R147" s="18" t="n">
        <f aca="false">IF(Q147&lt;=Parametros!$B$4,Parametros!$B$3,0)</f>
        <v>249095</v>
      </c>
      <c r="S147" s="18" t="n">
        <f aca="false">Q147*Parametros!$B$5</f>
        <v>92000</v>
      </c>
      <c r="T147" s="18" t="n">
        <f aca="false">Q147*Parametros!$B$6</f>
        <v>92000</v>
      </c>
      <c r="U147" s="18" t="n">
        <f aca="false">(Q147+R147)*Parametros!$B$10</f>
        <v>212424.583333333</v>
      </c>
      <c r="V147" s="18" t="n">
        <f aca="false">U147*Parametros!$B$11</f>
        <v>25490.95</v>
      </c>
      <c r="W147" s="18" t="n">
        <f aca="false">(Q147+R147)*Parametros!$B$12</f>
        <v>212424.583333333</v>
      </c>
      <c r="X147" s="18" t="n">
        <f aca="false">Q147*Parametros!$B$13</f>
        <v>95910</v>
      </c>
      <c r="Y147" s="18" t="n">
        <f aca="false">Q147*Parametros!$B$7</f>
        <v>195500</v>
      </c>
      <c r="Z147" s="18" t="n">
        <f aca="false">Q147*Parametros!$B$8</f>
        <v>276000</v>
      </c>
      <c r="AA147" s="18" t="n">
        <f aca="false">Q147*Parametros!$B$9</f>
        <v>92000</v>
      </c>
      <c r="AB147" s="18" t="n">
        <f aca="false">Q147*P147</f>
        <v>160080</v>
      </c>
    </row>
    <row r="148" customFormat="false" ht="15" hidden="false" customHeight="false" outlineLevel="0" collapsed="false">
      <c r="A148" s="14" t="s">
        <v>339</v>
      </c>
      <c r="B148" s="14" t="s">
        <v>54</v>
      </c>
      <c r="C148" s="14" t="s">
        <v>197</v>
      </c>
      <c r="D148" s="14" t="s">
        <v>56</v>
      </c>
      <c r="E148" s="15" t="n">
        <v>26633</v>
      </c>
      <c r="F148" s="14" t="s">
        <v>57</v>
      </c>
      <c r="G148" s="14" t="s">
        <v>58</v>
      </c>
      <c r="H148" s="14" t="s">
        <v>59</v>
      </c>
      <c r="I148" s="14" t="s">
        <v>112</v>
      </c>
      <c r="J148" s="15" t="n">
        <v>45383</v>
      </c>
      <c r="K148" s="15"/>
      <c r="L148" s="14" t="s">
        <v>61</v>
      </c>
      <c r="M148" s="14" t="s">
        <v>73</v>
      </c>
      <c r="N148" s="14" t="s">
        <v>63</v>
      </c>
      <c r="O148" s="14" t="s">
        <v>64</v>
      </c>
      <c r="P148" s="16" t="n">
        <v>0.0696</v>
      </c>
      <c r="Q148" s="17" t="n">
        <v>1900000</v>
      </c>
      <c r="R148" s="18" t="n">
        <f aca="false">IF(Q148&lt;=Parametros!$B$4,Parametros!$B$3,0)</f>
        <v>249095</v>
      </c>
      <c r="S148" s="18" t="n">
        <f aca="false">Q148*Parametros!$B$5</f>
        <v>76000</v>
      </c>
      <c r="T148" s="18" t="n">
        <f aca="false">Q148*Parametros!$B$6</f>
        <v>76000</v>
      </c>
      <c r="U148" s="18" t="n">
        <f aca="false">(Q148+R148)*Parametros!$B$10</f>
        <v>179091.25</v>
      </c>
      <c r="V148" s="18" t="n">
        <f aca="false">U148*Parametros!$B$11</f>
        <v>21490.95</v>
      </c>
      <c r="W148" s="18" t="n">
        <f aca="false">(Q148+R148)*Parametros!$B$12</f>
        <v>179091.25</v>
      </c>
      <c r="X148" s="18" t="n">
        <f aca="false">Q148*Parametros!$B$13</f>
        <v>79230</v>
      </c>
      <c r="Y148" s="18" t="n">
        <f aca="false">Q148*Parametros!$B$7</f>
        <v>161500</v>
      </c>
      <c r="Z148" s="18" t="n">
        <f aca="false">Q148*Parametros!$B$8</f>
        <v>228000</v>
      </c>
      <c r="AA148" s="18" t="n">
        <f aca="false">Q148*Parametros!$B$9</f>
        <v>76000</v>
      </c>
      <c r="AB148" s="18" t="n">
        <f aca="false">Q148*P148</f>
        <v>132240</v>
      </c>
    </row>
    <row r="149" customFormat="false" ht="15" hidden="false" customHeight="false" outlineLevel="0" collapsed="false">
      <c r="A149" s="14" t="s">
        <v>340</v>
      </c>
      <c r="B149" s="14" t="s">
        <v>199</v>
      </c>
      <c r="C149" s="14" t="s">
        <v>248</v>
      </c>
      <c r="D149" s="14" t="s">
        <v>56</v>
      </c>
      <c r="E149" s="15" t="n">
        <v>26849</v>
      </c>
      <c r="F149" s="14" t="s">
        <v>57</v>
      </c>
      <c r="G149" s="14" t="s">
        <v>58</v>
      </c>
      <c r="H149" s="14" t="s">
        <v>59</v>
      </c>
      <c r="I149" s="14" t="s">
        <v>60</v>
      </c>
      <c r="J149" s="15" t="n">
        <v>45548</v>
      </c>
      <c r="K149" s="15"/>
      <c r="L149" s="14" t="s">
        <v>61</v>
      </c>
      <c r="M149" s="14" t="s">
        <v>98</v>
      </c>
      <c r="N149" s="14" t="s">
        <v>63</v>
      </c>
      <c r="O149" s="14" t="s">
        <v>64</v>
      </c>
      <c r="P149" s="16" t="n">
        <v>0.0435</v>
      </c>
      <c r="Q149" s="17" t="n">
        <v>1750905</v>
      </c>
      <c r="R149" s="18" t="n">
        <f aca="false">IF(Q149&lt;=Parametros!$B$4,Parametros!$B$3,0)</f>
        <v>249095</v>
      </c>
      <c r="S149" s="18" t="n">
        <f aca="false">Q149*Parametros!$B$5</f>
        <v>70036.2</v>
      </c>
      <c r="T149" s="18" t="n">
        <f aca="false">Q149*Parametros!$B$6</f>
        <v>70036.2</v>
      </c>
      <c r="U149" s="18" t="n">
        <f aca="false">(Q149+R149)*Parametros!$B$10</f>
        <v>166666.666666667</v>
      </c>
      <c r="V149" s="18" t="n">
        <f aca="false">U149*Parametros!$B$11</f>
        <v>20000</v>
      </c>
      <c r="W149" s="18" t="n">
        <f aca="false">(Q149+R149)*Parametros!$B$12</f>
        <v>166666.666666667</v>
      </c>
      <c r="X149" s="18" t="n">
        <f aca="false">Q149*Parametros!$B$13</f>
        <v>73012.7385</v>
      </c>
      <c r="Y149" s="18" t="n">
        <f aca="false">Q149*Parametros!$B$7</f>
        <v>148826.925</v>
      </c>
      <c r="Z149" s="18" t="n">
        <f aca="false">Q149*Parametros!$B$8</f>
        <v>210108.6</v>
      </c>
      <c r="AA149" s="18" t="n">
        <f aca="false">Q149*Parametros!$B$9</f>
        <v>70036.2</v>
      </c>
      <c r="AB149" s="18" t="n">
        <f aca="false">Q149*P149</f>
        <v>76164.3675</v>
      </c>
    </row>
    <row r="150" customFormat="false" ht="15" hidden="false" customHeight="false" outlineLevel="0" collapsed="false">
      <c r="A150" s="14" t="s">
        <v>341</v>
      </c>
      <c r="B150" s="14" t="s">
        <v>168</v>
      </c>
      <c r="C150" s="14" t="s">
        <v>342</v>
      </c>
      <c r="D150" s="14" t="s">
        <v>56</v>
      </c>
      <c r="E150" s="15" t="n">
        <v>27071</v>
      </c>
      <c r="F150" s="14" t="s">
        <v>57</v>
      </c>
      <c r="G150" s="14" t="s">
        <v>58</v>
      </c>
      <c r="H150" s="14" t="s">
        <v>59</v>
      </c>
      <c r="I150" s="14" t="s">
        <v>60</v>
      </c>
      <c r="J150" s="15" t="n">
        <v>46191</v>
      </c>
      <c r="K150" s="15"/>
      <c r="L150" s="14" t="s">
        <v>246</v>
      </c>
      <c r="M150" s="14" t="s">
        <v>62</v>
      </c>
      <c r="N150" s="14" t="s">
        <v>63</v>
      </c>
      <c r="O150" s="14" t="s">
        <v>64</v>
      </c>
      <c r="P150" s="16" t="n">
        <v>0.0435</v>
      </c>
      <c r="Q150" s="17" t="n">
        <v>1750905</v>
      </c>
      <c r="R150" s="18" t="n">
        <f aca="false">IF(Q150&lt;=Parametros!$B$4,Parametros!$B$3,0)</f>
        <v>249095</v>
      </c>
      <c r="S150" s="18" t="n">
        <f aca="false">Q150*Parametros!$B$5</f>
        <v>70036.2</v>
      </c>
      <c r="T150" s="18" t="n">
        <f aca="false">Q150*Parametros!$B$6</f>
        <v>70036.2</v>
      </c>
      <c r="U150" s="18" t="n">
        <f aca="false">(Q150+R150)*Parametros!$B$10</f>
        <v>166666.666666667</v>
      </c>
      <c r="V150" s="18" t="n">
        <f aca="false">U150*Parametros!$B$11</f>
        <v>20000</v>
      </c>
      <c r="W150" s="18" t="n">
        <f aca="false">(Q150+R150)*Parametros!$B$12</f>
        <v>166666.666666667</v>
      </c>
      <c r="X150" s="18" t="n">
        <f aca="false">Q150*Parametros!$B$13</f>
        <v>73012.7385</v>
      </c>
      <c r="Y150" s="18" t="n">
        <f aca="false">Q150*Parametros!$B$7</f>
        <v>148826.925</v>
      </c>
      <c r="Z150" s="18" t="n">
        <f aca="false">Q150*Parametros!$B$8</f>
        <v>210108.6</v>
      </c>
      <c r="AA150" s="18" t="n">
        <f aca="false">Q150*Parametros!$B$9</f>
        <v>70036.2</v>
      </c>
      <c r="AB150" s="18" t="n">
        <f aca="false">Q150*P150</f>
        <v>76164.3675</v>
      </c>
    </row>
    <row r="151" customFormat="false" ht="15" hidden="false" customHeight="false" outlineLevel="0" collapsed="false">
      <c r="A151" s="14" t="s">
        <v>343</v>
      </c>
      <c r="B151" s="14" t="s">
        <v>168</v>
      </c>
      <c r="C151" s="14" t="s">
        <v>239</v>
      </c>
      <c r="D151" s="14" t="s">
        <v>77</v>
      </c>
      <c r="E151" s="15" t="n">
        <v>27923</v>
      </c>
      <c r="F151" s="14" t="s">
        <v>57</v>
      </c>
      <c r="G151" s="14" t="s">
        <v>58</v>
      </c>
      <c r="H151" s="14" t="s">
        <v>59</v>
      </c>
      <c r="I151" s="14" t="s">
        <v>60</v>
      </c>
      <c r="J151" s="15" t="n">
        <v>45383</v>
      </c>
      <c r="K151" s="15"/>
      <c r="L151" s="14" t="s">
        <v>97</v>
      </c>
      <c r="M151" s="14" t="s">
        <v>79</v>
      </c>
      <c r="N151" s="14" t="s">
        <v>63</v>
      </c>
      <c r="O151" s="14" t="s">
        <v>64</v>
      </c>
      <c r="P151" s="16" t="n">
        <v>0.0435</v>
      </c>
      <c r="Q151" s="17" t="n">
        <v>1750905</v>
      </c>
      <c r="R151" s="18" t="n">
        <f aca="false">IF(Q151&lt;=Parametros!$B$4,Parametros!$B$3,0)</f>
        <v>249095</v>
      </c>
      <c r="S151" s="18" t="n">
        <f aca="false">Q151*Parametros!$B$5</f>
        <v>70036.2</v>
      </c>
      <c r="T151" s="18" t="n">
        <f aca="false">Q151*Parametros!$B$6</f>
        <v>70036.2</v>
      </c>
      <c r="U151" s="18" t="n">
        <f aca="false">(Q151+R151)*Parametros!$B$10</f>
        <v>166666.666666667</v>
      </c>
      <c r="V151" s="18" t="n">
        <f aca="false">U151*Parametros!$B$11</f>
        <v>20000</v>
      </c>
      <c r="W151" s="18" t="n">
        <f aca="false">(Q151+R151)*Parametros!$B$12</f>
        <v>166666.666666667</v>
      </c>
      <c r="X151" s="18" t="n">
        <f aca="false">Q151*Parametros!$B$13</f>
        <v>73012.7385</v>
      </c>
      <c r="Y151" s="18" t="n">
        <f aca="false">Q151*Parametros!$B$7</f>
        <v>148826.925</v>
      </c>
      <c r="Z151" s="18" t="n">
        <f aca="false">Q151*Parametros!$B$8</f>
        <v>210108.6</v>
      </c>
      <c r="AA151" s="18" t="n">
        <f aca="false">Q151*Parametros!$B$9</f>
        <v>70036.2</v>
      </c>
      <c r="AB151" s="18" t="n">
        <f aca="false">Q151*P151</f>
        <v>76164.3675</v>
      </c>
    </row>
    <row r="152" customFormat="false" ht="15" hidden="false" customHeight="false" outlineLevel="0" collapsed="false">
      <c r="A152" s="14" t="s">
        <v>344</v>
      </c>
      <c r="B152" s="14" t="s">
        <v>145</v>
      </c>
      <c r="C152" s="14" t="s">
        <v>248</v>
      </c>
      <c r="D152" s="14" t="s">
        <v>56</v>
      </c>
      <c r="E152" s="15" t="n">
        <v>31188</v>
      </c>
      <c r="F152" s="14" t="s">
        <v>57</v>
      </c>
      <c r="G152" s="14" t="s">
        <v>107</v>
      </c>
      <c r="H152" s="14" t="s">
        <v>108</v>
      </c>
      <c r="I152" s="14" t="s">
        <v>289</v>
      </c>
      <c r="J152" s="15" t="n">
        <v>45383</v>
      </c>
      <c r="K152" s="15"/>
      <c r="L152" s="14" t="s">
        <v>86</v>
      </c>
      <c r="M152" s="14" t="s">
        <v>73</v>
      </c>
      <c r="N152" s="14" t="s">
        <v>63</v>
      </c>
      <c r="O152" s="14" t="s">
        <v>64</v>
      </c>
      <c r="P152" s="16" t="n">
        <v>0.00522</v>
      </c>
      <c r="Q152" s="17" t="n">
        <v>1800000</v>
      </c>
      <c r="R152" s="18" t="n">
        <f aca="false">IF(Q152&lt;=Parametros!$B$4,Parametros!$B$3,0)</f>
        <v>249095</v>
      </c>
      <c r="S152" s="18" t="n">
        <f aca="false">Q152*Parametros!$B$5</f>
        <v>72000</v>
      </c>
      <c r="T152" s="18" t="n">
        <f aca="false">Q152*Parametros!$B$6</f>
        <v>72000</v>
      </c>
      <c r="U152" s="18" t="n">
        <f aca="false">(Q152+R152)*Parametros!$B$10</f>
        <v>170757.916666667</v>
      </c>
      <c r="V152" s="18" t="n">
        <f aca="false">U152*Parametros!$B$11</f>
        <v>20490.95</v>
      </c>
      <c r="W152" s="18" t="n">
        <f aca="false">(Q152+R152)*Parametros!$B$12</f>
        <v>170757.916666667</v>
      </c>
      <c r="X152" s="18" t="n">
        <f aca="false">Q152*Parametros!$B$13</f>
        <v>75060</v>
      </c>
      <c r="Y152" s="18" t="n">
        <f aca="false">Q152*Parametros!$B$7</f>
        <v>153000</v>
      </c>
      <c r="Z152" s="18" t="n">
        <f aca="false">Q152*Parametros!$B$8</f>
        <v>216000</v>
      </c>
      <c r="AA152" s="18" t="n">
        <f aca="false">Q152*Parametros!$B$9</f>
        <v>72000</v>
      </c>
      <c r="AB152" s="18" t="n">
        <f aca="false">Q152*P152</f>
        <v>9396</v>
      </c>
    </row>
    <row r="153" customFormat="false" ht="15" hidden="false" customHeight="false" outlineLevel="0" collapsed="false">
      <c r="A153" s="14" t="s">
        <v>345</v>
      </c>
      <c r="B153" s="14" t="s">
        <v>199</v>
      </c>
      <c r="C153" s="14" t="s">
        <v>200</v>
      </c>
      <c r="D153" s="14" t="s">
        <v>56</v>
      </c>
      <c r="E153" s="15" t="n">
        <v>23865</v>
      </c>
      <c r="F153" s="14" t="s">
        <v>57</v>
      </c>
      <c r="G153" s="14" t="s">
        <v>107</v>
      </c>
      <c r="H153" s="14" t="s">
        <v>108</v>
      </c>
      <c r="I153" s="14" t="s">
        <v>112</v>
      </c>
      <c r="J153" s="15" t="n">
        <v>45597</v>
      </c>
      <c r="K153" s="15"/>
      <c r="L153" s="14" t="s">
        <v>246</v>
      </c>
      <c r="M153" s="14" t="s">
        <v>62</v>
      </c>
      <c r="N153" s="14" t="s">
        <v>63</v>
      </c>
      <c r="O153" s="14" t="s">
        <v>64</v>
      </c>
      <c r="P153" s="16" t="n">
        <v>0.0696</v>
      </c>
      <c r="Q153" s="17" t="n">
        <v>1900000</v>
      </c>
      <c r="R153" s="18" t="n">
        <f aca="false">IF(Q153&lt;=Parametros!$B$4,Parametros!$B$3,0)</f>
        <v>249095</v>
      </c>
      <c r="S153" s="18" t="n">
        <f aca="false">Q153*Parametros!$B$5</f>
        <v>76000</v>
      </c>
      <c r="T153" s="18" t="n">
        <f aca="false">Q153*Parametros!$B$6</f>
        <v>76000</v>
      </c>
      <c r="U153" s="18" t="n">
        <f aca="false">(Q153+R153)*Parametros!$B$10</f>
        <v>179091.25</v>
      </c>
      <c r="V153" s="18" t="n">
        <f aca="false">U153*Parametros!$B$11</f>
        <v>21490.95</v>
      </c>
      <c r="W153" s="18" t="n">
        <f aca="false">(Q153+R153)*Parametros!$B$12</f>
        <v>179091.25</v>
      </c>
      <c r="X153" s="18" t="n">
        <f aca="false">Q153*Parametros!$B$13</f>
        <v>79230</v>
      </c>
      <c r="Y153" s="18" t="n">
        <f aca="false">Q153*Parametros!$B$7</f>
        <v>161500</v>
      </c>
      <c r="Z153" s="18" t="n">
        <f aca="false">Q153*Parametros!$B$8</f>
        <v>228000</v>
      </c>
      <c r="AA153" s="18" t="n">
        <f aca="false">Q153*Parametros!$B$9</f>
        <v>76000</v>
      </c>
      <c r="AB153" s="18" t="n">
        <f aca="false">Q153*P153</f>
        <v>132240</v>
      </c>
    </row>
    <row r="154" customFormat="false" ht="15" hidden="false" customHeight="false" outlineLevel="0" collapsed="false">
      <c r="A154" s="14" t="s">
        <v>346</v>
      </c>
      <c r="B154" s="14" t="s">
        <v>124</v>
      </c>
      <c r="C154" s="14" t="s">
        <v>222</v>
      </c>
      <c r="D154" s="14" t="s">
        <v>77</v>
      </c>
      <c r="E154" s="15" t="n">
        <v>38184</v>
      </c>
      <c r="F154" s="14" t="s">
        <v>57</v>
      </c>
      <c r="G154" s="14" t="s">
        <v>58</v>
      </c>
      <c r="H154" s="14" t="s">
        <v>59</v>
      </c>
      <c r="I154" s="14" t="s">
        <v>240</v>
      </c>
      <c r="J154" s="15" t="n">
        <v>45383</v>
      </c>
      <c r="K154" s="15"/>
      <c r="L154" s="14" t="s">
        <v>148</v>
      </c>
      <c r="M154" s="14" t="s">
        <v>79</v>
      </c>
      <c r="N154" s="14" t="s">
        <v>63</v>
      </c>
      <c r="O154" s="14" t="s">
        <v>64</v>
      </c>
      <c r="P154" s="16" t="n">
        <v>0.02436</v>
      </c>
      <c r="Q154" s="17" t="n">
        <v>2800000</v>
      </c>
      <c r="R154" s="18" t="n">
        <f aca="false">IF(Q154&lt;=Parametros!$B$4,Parametros!$B$3,0)</f>
        <v>249095</v>
      </c>
      <c r="S154" s="18" t="n">
        <f aca="false">Q154*Parametros!$B$5</f>
        <v>112000</v>
      </c>
      <c r="T154" s="18" t="n">
        <f aca="false">Q154*Parametros!$B$6</f>
        <v>112000</v>
      </c>
      <c r="U154" s="18" t="n">
        <f aca="false">(Q154+R154)*Parametros!$B$10</f>
        <v>254091.25</v>
      </c>
      <c r="V154" s="18" t="n">
        <f aca="false">U154*Parametros!$B$11</f>
        <v>30490.95</v>
      </c>
      <c r="W154" s="18" t="n">
        <f aca="false">(Q154+R154)*Parametros!$B$12</f>
        <v>254091.25</v>
      </c>
      <c r="X154" s="18" t="n">
        <f aca="false">Q154*Parametros!$B$13</f>
        <v>116760</v>
      </c>
      <c r="Y154" s="18" t="n">
        <f aca="false">Q154*Parametros!$B$7</f>
        <v>238000</v>
      </c>
      <c r="Z154" s="18" t="n">
        <f aca="false">Q154*Parametros!$B$8</f>
        <v>336000</v>
      </c>
      <c r="AA154" s="18" t="n">
        <f aca="false">Q154*Parametros!$B$9</f>
        <v>112000</v>
      </c>
      <c r="AB154" s="18" t="n">
        <f aca="false">Q154*P154</f>
        <v>68208</v>
      </c>
    </row>
    <row r="155" customFormat="false" ht="15" hidden="false" customHeight="false" outlineLevel="0" collapsed="false">
      <c r="A155" s="14" t="s">
        <v>347</v>
      </c>
      <c r="B155" s="14" t="s">
        <v>91</v>
      </c>
      <c r="C155" s="14" t="s">
        <v>96</v>
      </c>
      <c r="D155" s="14" t="s">
        <v>56</v>
      </c>
      <c r="E155" s="15" t="n">
        <v>32336</v>
      </c>
      <c r="F155" s="14" t="s">
        <v>57</v>
      </c>
      <c r="G155" s="14" t="s">
        <v>58</v>
      </c>
      <c r="H155" s="14" t="s">
        <v>59</v>
      </c>
      <c r="I155" s="14" t="s">
        <v>112</v>
      </c>
      <c r="J155" s="15" t="n">
        <v>45387</v>
      </c>
      <c r="K155" s="15"/>
      <c r="L155" s="14" t="s">
        <v>86</v>
      </c>
      <c r="M155" s="14" t="s">
        <v>98</v>
      </c>
      <c r="N155" s="14" t="s">
        <v>63</v>
      </c>
      <c r="O155" s="14" t="s">
        <v>64</v>
      </c>
      <c r="P155" s="16" t="n">
        <v>0.0696</v>
      </c>
      <c r="Q155" s="17" t="n">
        <v>1900000</v>
      </c>
      <c r="R155" s="18" t="n">
        <f aca="false">IF(Q155&lt;=Parametros!$B$4,Parametros!$B$3,0)</f>
        <v>249095</v>
      </c>
      <c r="S155" s="18" t="n">
        <f aca="false">Q155*Parametros!$B$5</f>
        <v>76000</v>
      </c>
      <c r="T155" s="18" t="n">
        <f aca="false">Q155*Parametros!$B$6</f>
        <v>76000</v>
      </c>
      <c r="U155" s="18" t="n">
        <f aca="false">(Q155+R155)*Parametros!$B$10</f>
        <v>179091.25</v>
      </c>
      <c r="V155" s="18" t="n">
        <f aca="false">U155*Parametros!$B$11</f>
        <v>21490.95</v>
      </c>
      <c r="W155" s="18" t="n">
        <f aca="false">(Q155+R155)*Parametros!$B$12</f>
        <v>179091.25</v>
      </c>
      <c r="X155" s="18" t="n">
        <f aca="false">Q155*Parametros!$B$13</f>
        <v>79230</v>
      </c>
      <c r="Y155" s="18" t="n">
        <f aca="false">Q155*Parametros!$B$7</f>
        <v>161500</v>
      </c>
      <c r="Z155" s="18" t="n">
        <f aca="false">Q155*Parametros!$B$8</f>
        <v>228000</v>
      </c>
      <c r="AA155" s="18" t="n">
        <f aca="false">Q155*Parametros!$B$9</f>
        <v>76000</v>
      </c>
      <c r="AB155" s="18" t="n">
        <f aca="false">Q155*P155</f>
        <v>132240</v>
      </c>
    </row>
    <row r="156" customFormat="false" ht="15" hidden="false" customHeight="false" outlineLevel="0" collapsed="false">
      <c r="A156" s="14" t="s">
        <v>348</v>
      </c>
      <c r="B156" s="14" t="s">
        <v>212</v>
      </c>
      <c r="C156" s="14" t="s">
        <v>226</v>
      </c>
      <c r="D156" s="14" t="s">
        <v>56</v>
      </c>
      <c r="E156" s="15" t="n">
        <v>34070</v>
      </c>
      <c r="F156" s="14" t="s">
        <v>57</v>
      </c>
      <c r="G156" s="14" t="s">
        <v>58</v>
      </c>
      <c r="H156" s="14" t="s">
        <v>59</v>
      </c>
      <c r="I156" s="14" t="s">
        <v>112</v>
      </c>
      <c r="J156" s="15" t="n">
        <v>46043</v>
      </c>
      <c r="K156" s="15" t="n">
        <v>46113</v>
      </c>
      <c r="L156" s="14" t="s">
        <v>246</v>
      </c>
      <c r="M156" s="14" t="s">
        <v>79</v>
      </c>
      <c r="N156" s="14" t="s">
        <v>63</v>
      </c>
      <c r="O156" s="14" t="s">
        <v>64</v>
      </c>
      <c r="P156" s="16" t="n">
        <v>0.0696</v>
      </c>
      <c r="Q156" s="17" t="n">
        <v>1900000</v>
      </c>
      <c r="R156" s="18" t="n">
        <f aca="false">IF(Q156&lt;=Parametros!$B$4,Parametros!$B$3,0)</f>
        <v>249095</v>
      </c>
      <c r="S156" s="18" t="n">
        <f aca="false">Q156*Parametros!$B$5</f>
        <v>76000</v>
      </c>
      <c r="T156" s="18" t="n">
        <f aca="false">Q156*Parametros!$B$6</f>
        <v>76000</v>
      </c>
      <c r="U156" s="18" t="n">
        <f aca="false">(Q156+R156)*Parametros!$B$10</f>
        <v>179091.25</v>
      </c>
      <c r="V156" s="18" t="n">
        <f aca="false">U156*Parametros!$B$11</f>
        <v>21490.95</v>
      </c>
      <c r="W156" s="18" t="n">
        <f aca="false">(Q156+R156)*Parametros!$B$12</f>
        <v>179091.25</v>
      </c>
      <c r="X156" s="18" t="n">
        <f aca="false">Q156*Parametros!$B$13</f>
        <v>79230</v>
      </c>
      <c r="Y156" s="18" t="n">
        <f aca="false">Q156*Parametros!$B$7</f>
        <v>161500</v>
      </c>
      <c r="Z156" s="18" t="n">
        <f aca="false">Q156*Parametros!$B$8</f>
        <v>228000</v>
      </c>
      <c r="AA156" s="18" t="n">
        <f aca="false">Q156*Parametros!$B$9</f>
        <v>76000</v>
      </c>
      <c r="AB156" s="18" t="n">
        <f aca="false">Q156*P156</f>
        <v>132240</v>
      </c>
    </row>
    <row r="157" customFormat="false" ht="15" hidden="false" customHeight="false" outlineLevel="0" collapsed="false">
      <c r="A157" s="14" t="s">
        <v>349</v>
      </c>
      <c r="B157" s="14" t="s">
        <v>127</v>
      </c>
      <c r="C157" s="14" t="s">
        <v>106</v>
      </c>
      <c r="D157" s="14" t="s">
        <v>56</v>
      </c>
      <c r="E157" s="15" t="n">
        <v>31007</v>
      </c>
      <c r="F157" s="14" t="s">
        <v>57</v>
      </c>
      <c r="G157" s="14" t="s">
        <v>58</v>
      </c>
      <c r="H157" s="14" t="s">
        <v>59</v>
      </c>
      <c r="I157" s="14" t="s">
        <v>192</v>
      </c>
      <c r="J157" s="15" t="n">
        <v>45419</v>
      </c>
      <c r="K157" s="15"/>
      <c r="L157" s="14" t="s">
        <v>78</v>
      </c>
      <c r="M157" s="14" t="s">
        <v>62</v>
      </c>
      <c r="N157" s="14" t="s">
        <v>63</v>
      </c>
      <c r="O157" s="14" t="s">
        <v>83</v>
      </c>
      <c r="P157" s="16" t="n">
        <v>0.00522</v>
      </c>
      <c r="Q157" s="17" t="n">
        <v>1750905</v>
      </c>
      <c r="R157" s="18" t="n">
        <f aca="false">IF(Q157&lt;=Parametros!$B$4,Parametros!$B$3,0)</f>
        <v>249095</v>
      </c>
      <c r="S157" s="18" t="n">
        <f aca="false">Q157*Parametros!$B$5</f>
        <v>70036.2</v>
      </c>
      <c r="T157" s="18" t="n">
        <f aca="false">Q157*Parametros!$B$6</f>
        <v>70036.2</v>
      </c>
      <c r="U157" s="18" t="n">
        <f aca="false">(Q157+R157)*Parametros!$B$10</f>
        <v>166666.666666667</v>
      </c>
      <c r="V157" s="18" t="n">
        <f aca="false">U157*Parametros!$B$11</f>
        <v>20000</v>
      </c>
      <c r="W157" s="18" t="n">
        <f aca="false">(Q157+R157)*Parametros!$B$12</f>
        <v>166666.666666667</v>
      </c>
      <c r="X157" s="18" t="n">
        <f aca="false">Q157*Parametros!$B$13</f>
        <v>73012.7385</v>
      </c>
      <c r="Y157" s="18" t="n">
        <f aca="false">Q157*Parametros!$B$7</f>
        <v>148826.925</v>
      </c>
      <c r="Z157" s="18" t="n">
        <f aca="false">Q157*Parametros!$B$8</f>
        <v>210108.6</v>
      </c>
      <c r="AA157" s="18" t="n">
        <f aca="false">Q157*Parametros!$B$9</f>
        <v>70036.2</v>
      </c>
      <c r="AB157" s="18" t="n">
        <f aca="false">Q157*P157</f>
        <v>9139.7241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2026-08-05T21:53:30Z</dcterms:created>
  <dc:creator>openpyxl</dc:creator>
  <dc:description/>
  <dc:language>en-US</dc:language>
  <cp:lastModifiedBy/>
  <dcterms:modified xsi:type="dcterms:W3CDTF">2026-08-05T21:53:31Z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